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al\Downloads\"/>
    </mc:Choice>
  </mc:AlternateContent>
  <xr:revisionPtr revIDLastSave="0" documentId="13_ncr:1_{FC6B0F89-410D-4951-A5B8-3600C6352ED0}" xr6:coauthVersionLast="47" xr6:coauthVersionMax="47" xr10:uidLastSave="{00000000-0000-0000-0000-000000000000}"/>
  <workbookProtection workbookAlgorithmName="SHA-512" workbookHashValue="gKIiGZhMldDpA2c/dKHkWX/fnd3nkg5J1Fqze7LF4AQPt8iIJKFbJ66ZHSTsZKisJsd7szFLgIRErO7su8GuBA==" workbookSaltValue="9CidEwCoFyDmVIVLgrJTtg==" workbookSpinCount="100000" lockStructure="1"/>
  <bookViews>
    <workbookView xWindow="-28920" yWindow="-120" windowWidth="29040" windowHeight="15720" tabRatio="825" activeTab="2" xr2:uid="{00000000-000D-0000-FFFF-FFFF00000000}"/>
  </bookViews>
  <sheets>
    <sheet name="VALORI" sheetId="6" r:id="rId1"/>
    <sheet name="REVISIONI" sheetId="15" r:id="rId2"/>
    <sheet name="PASTA CORTA - ECOSYSTEM" sheetId="1" r:id="rId3"/>
    <sheet name="PASTA CORTA - TCM100" sheetId="10" r:id="rId4"/>
    <sheet name="PASTA CORTA - ROMET" sheetId="14" r:id="rId5"/>
    <sheet name="PASTA LUNGA - GPL180" sheetId="9" r:id="rId6"/>
    <sheet name="SILI PASTA CORTA" sheetId="7" r:id="rId7"/>
    <sheet name="PASTA LUNGA - ITRG270" sheetId="11" r:id="rId8"/>
    <sheet name="SILI PASTA LUNGA" sheetId="12" r:id="rId9"/>
    <sheet name="COUSCOUS" sheetId="13" r:id="rId10"/>
    <sheet name="GM" sheetId="3" r:id="rId11"/>
    <sheet name="CTA_NIDI" sheetId="5" r:id="rId12"/>
  </sheets>
  <definedNames>
    <definedName name="_xlnm.Print_Area" localSheetId="9">COUSCOUS!#REF!</definedName>
    <definedName name="_xlnm.Print_Area" localSheetId="2">'PASTA CORTA - ECOSYSTEM'!$A$32:$V$73</definedName>
    <definedName name="_xlnm.Print_Area" localSheetId="4">'PASTA CORTA - ROMET'!#REF!</definedName>
    <definedName name="_xlnm.Print_Area" localSheetId="3">'PASTA CORTA - TCM100'!#REF!</definedName>
    <definedName name="_xlnm.Print_Area" localSheetId="6">'SILI PASTA CORTA'!$A$2:$F$9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5" i="1" l="1"/>
  <c r="C40" i="1" a="1"/>
  <c r="C40" i="1" s="1"/>
  <c r="C44" i="1" a="1"/>
  <c r="C44" i="1" s="1"/>
  <c r="J44" i="1" a="1"/>
  <c r="J44" i="1" s="1"/>
  <c r="K44" i="1" a="1"/>
  <c r="K44" i="1" s="1"/>
  <c r="L44" i="1" a="1"/>
  <c r="L44" i="1" s="1"/>
  <c r="M44" i="1" a="1"/>
  <c r="M44" i="1" s="1"/>
  <c r="U44" i="1" a="1"/>
  <c r="U44" i="1" s="1"/>
  <c r="C45" i="1" a="1"/>
  <c r="C45" i="1" s="1"/>
  <c r="J45" i="1" a="1"/>
  <c r="J45" i="1" s="1"/>
  <c r="K45" i="1" a="1"/>
  <c r="K45" i="1" s="1"/>
  <c r="L45" i="1" a="1"/>
  <c r="L45" i="1" s="1"/>
  <c r="M45" i="1" a="1"/>
  <c r="M45" i="1" s="1"/>
  <c r="U45" i="1" a="1"/>
  <c r="U45" i="1" s="1"/>
  <c r="Y45" i="1"/>
  <c r="Z45" i="1"/>
  <c r="AA45" i="1" s="1"/>
  <c r="AM22" i="1"/>
  <c r="AA22" i="1"/>
  <c r="Y22" i="1"/>
  <c r="X22" i="1"/>
  <c r="AM21" i="1"/>
  <c r="AA21" i="1"/>
  <c r="Y21" i="1"/>
  <c r="X21" i="1"/>
  <c r="AM18" i="1"/>
  <c r="AA18" i="1"/>
  <c r="Y18" i="1"/>
  <c r="X18" i="1"/>
  <c r="AM16" i="1"/>
  <c r="AA16" i="1"/>
  <c r="Y16" i="1"/>
  <c r="X16" i="1"/>
  <c r="AM12" i="1"/>
  <c r="AA12" i="1"/>
  <c r="Y12" i="1"/>
  <c r="X12" i="1"/>
  <c r="AM4" i="1"/>
  <c r="AA4" i="1"/>
  <c r="Y4" i="1"/>
  <c r="X4" i="1"/>
  <c r="S22" i="1"/>
  <c r="P22" i="1"/>
  <c r="Q22" i="1" s="1"/>
  <c r="S21" i="1"/>
  <c r="P21" i="1"/>
  <c r="Q21" i="1" s="1"/>
  <c r="U67" i="1" a="1"/>
  <c r="U67" i="1" s="1"/>
  <c r="M67" i="1" a="1"/>
  <c r="M67" i="1" s="1"/>
  <c r="L67" i="1" a="1"/>
  <c r="L67" i="1" s="1"/>
  <c r="K67" i="1" a="1"/>
  <c r="K67" i="1" s="1"/>
  <c r="J67" i="1" a="1"/>
  <c r="J67" i="1" s="1"/>
  <c r="C67" i="1" a="1"/>
  <c r="C67" i="1" s="1"/>
  <c r="U66" i="1" a="1"/>
  <c r="U66" i="1" s="1"/>
  <c r="M66" i="1" a="1"/>
  <c r="M66" i="1" s="1"/>
  <c r="L66" i="1" a="1"/>
  <c r="L66" i="1" s="1"/>
  <c r="K66" i="1" a="1"/>
  <c r="K66" i="1" s="1"/>
  <c r="J66" i="1" a="1"/>
  <c r="J66" i="1" s="1"/>
  <c r="C66" i="1" a="1"/>
  <c r="C66" i="1" s="1"/>
  <c r="U65" i="1" a="1"/>
  <c r="U65" i="1" s="1"/>
  <c r="M65" i="1" a="1"/>
  <c r="M65" i="1" s="1"/>
  <c r="L65" i="1" a="1"/>
  <c r="L65" i="1" s="1"/>
  <c r="K65" i="1" a="1"/>
  <c r="K65" i="1" s="1"/>
  <c r="J65" i="1" a="1"/>
  <c r="J65" i="1" s="1"/>
  <c r="C65" i="1" a="1"/>
  <c r="C65" i="1" s="1"/>
  <c r="U64" i="1" a="1"/>
  <c r="U64" i="1" s="1"/>
  <c r="M64" i="1" a="1"/>
  <c r="M64" i="1" s="1"/>
  <c r="L64" i="1" a="1"/>
  <c r="L64" i="1" s="1"/>
  <c r="K64" i="1" a="1"/>
  <c r="K64" i="1" s="1"/>
  <c r="J64" i="1" a="1"/>
  <c r="J64" i="1" s="1"/>
  <c r="C64" i="1" a="1"/>
  <c r="C64" i="1" s="1"/>
  <c r="U63" i="1" a="1"/>
  <c r="U63" i="1" s="1"/>
  <c r="M63" i="1" a="1"/>
  <c r="M63" i="1" s="1"/>
  <c r="L63" i="1" a="1"/>
  <c r="L63" i="1" s="1"/>
  <c r="K63" i="1" a="1"/>
  <c r="K63" i="1" s="1"/>
  <c r="J63" i="1" a="1"/>
  <c r="J63" i="1" s="1"/>
  <c r="C63" i="1" a="1"/>
  <c r="C63" i="1" s="1"/>
  <c r="U62" i="1" a="1"/>
  <c r="U62" i="1" s="1"/>
  <c r="M62" i="1" a="1"/>
  <c r="M62" i="1" s="1"/>
  <c r="L62" i="1" a="1"/>
  <c r="L62" i="1" s="1"/>
  <c r="K62" i="1" a="1"/>
  <c r="K62" i="1" s="1"/>
  <c r="J62" i="1" a="1"/>
  <c r="J62" i="1" s="1"/>
  <c r="C62" i="1" a="1"/>
  <c r="C62" i="1" s="1"/>
  <c r="U61" i="1" a="1"/>
  <c r="U61" i="1" s="1"/>
  <c r="M61" i="1" a="1"/>
  <c r="M61" i="1" s="1"/>
  <c r="L61" i="1" a="1"/>
  <c r="L61" i="1" s="1"/>
  <c r="K61" i="1" a="1"/>
  <c r="K61" i="1" s="1"/>
  <c r="J61" i="1" a="1"/>
  <c r="J61" i="1" s="1"/>
  <c r="C61" i="1" a="1"/>
  <c r="C61" i="1" s="1"/>
  <c r="U60" i="1" a="1"/>
  <c r="U60" i="1" s="1"/>
  <c r="M60" i="1" a="1"/>
  <c r="M60" i="1" s="1"/>
  <c r="L60" i="1" a="1"/>
  <c r="L60" i="1" s="1"/>
  <c r="K60" i="1" a="1"/>
  <c r="K60" i="1" s="1"/>
  <c r="J60" i="1" a="1"/>
  <c r="J60" i="1" s="1"/>
  <c r="C60" i="1" a="1"/>
  <c r="C60" i="1" s="1"/>
  <c r="M59" i="1" a="1"/>
  <c r="M59" i="1" s="1"/>
  <c r="L59" i="1" a="1"/>
  <c r="L59" i="1" s="1"/>
  <c r="K59" i="1" a="1"/>
  <c r="K59" i="1" s="1"/>
  <c r="J59" i="1" a="1"/>
  <c r="J59" i="1" s="1"/>
  <c r="C59" i="1" a="1"/>
  <c r="C59" i="1" s="1"/>
  <c r="U58" i="1" a="1"/>
  <c r="U58" i="1" s="1"/>
  <c r="M58" i="1" a="1"/>
  <c r="M58" i="1" s="1"/>
  <c r="L58" i="1" a="1"/>
  <c r="L58" i="1" s="1"/>
  <c r="K58" i="1" a="1"/>
  <c r="K58" i="1" s="1"/>
  <c r="J58" i="1" a="1"/>
  <c r="J58" i="1" s="1"/>
  <c r="C58" i="1" a="1"/>
  <c r="C58" i="1" s="1"/>
  <c r="U57" i="1" a="1"/>
  <c r="U57" i="1" s="1"/>
  <c r="M57" i="1" a="1"/>
  <c r="M57" i="1" s="1"/>
  <c r="L57" i="1" a="1"/>
  <c r="L57" i="1" s="1"/>
  <c r="K57" i="1" a="1"/>
  <c r="K57" i="1" s="1"/>
  <c r="J57" i="1" a="1"/>
  <c r="J57" i="1" s="1"/>
  <c r="C57" i="1" a="1"/>
  <c r="C57" i="1" s="1"/>
  <c r="U56" i="1" a="1"/>
  <c r="U56" i="1" s="1"/>
  <c r="M56" i="1" a="1"/>
  <c r="M56" i="1" s="1"/>
  <c r="L56" i="1" a="1"/>
  <c r="L56" i="1" s="1"/>
  <c r="K56" i="1" a="1"/>
  <c r="K56" i="1" s="1"/>
  <c r="J56" i="1" a="1"/>
  <c r="J56" i="1" s="1"/>
  <c r="C56" i="1" a="1"/>
  <c r="C56" i="1" s="1"/>
  <c r="U55" i="1" a="1"/>
  <c r="U55" i="1" s="1"/>
  <c r="M55" i="1" a="1"/>
  <c r="M55" i="1" s="1"/>
  <c r="L55" i="1" a="1"/>
  <c r="L55" i="1" s="1"/>
  <c r="K55" i="1" a="1"/>
  <c r="K55" i="1" s="1"/>
  <c r="J55" i="1" a="1"/>
  <c r="J55" i="1" s="1"/>
  <c r="C55" i="1" a="1"/>
  <c r="C55" i="1" s="1"/>
  <c r="U54" i="1" a="1"/>
  <c r="U54" i="1" s="1"/>
  <c r="M54" i="1" a="1"/>
  <c r="M54" i="1" s="1"/>
  <c r="L54" i="1" a="1"/>
  <c r="L54" i="1" s="1"/>
  <c r="K54" i="1" a="1"/>
  <c r="K54" i="1" s="1"/>
  <c r="J54" i="1" a="1"/>
  <c r="J54" i="1" s="1"/>
  <c r="C54" i="1" a="1"/>
  <c r="C54" i="1" s="1"/>
  <c r="U53" i="1" a="1"/>
  <c r="U53" i="1" s="1"/>
  <c r="M53" i="1" a="1"/>
  <c r="M53" i="1" s="1"/>
  <c r="L53" i="1" a="1"/>
  <c r="L53" i="1" s="1"/>
  <c r="K53" i="1" a="1"/>
  <c r="K53" i="1" s="1"/>
  <c r="J53" i="1" a="1"/>
  <c r="J53" i="1" s="1"/>
  <c r="C53" i="1" a="1"/>
  <c r="C53" i="1" s="1"/>
  <c r="U52" i="1" a="1"/>
  <c r="U52" i="1" s="1"/>
  <c r="M52" i="1" a="1"/>
  <c r="M52" i="1" s="1"/>
  <c r="L52" i="1" a="1"/>
  <c r="L52" i="1" s="1"/>
  <c r="K52" i="1" a="1"/>
  <c r="K52" i="1" s="1"/>
  <c r="J52" i="1" a="1"/>
  <c r="J52" i="1" s="1"/>
  <c r="C52" i="1" a="1"/>
  <c r="C52" i="1" s="1"/>
  <c r="U51" i="1" a="1"/>
  <c r="U51" i="1" s="1"/>
  <c r="M51" i="1" a="1"/>
  <c r="M51" i="1" s="1"/>
  <c r="L51" i="1" a="1"/>
  <c r="L51" i="1" s="1"/>
  <c r="K51" i="1" a="1"/>
  <c r="K51" i="1" s="1"/>
  <c r="J51" i="1" a="1"/>
  <c r="J51" i="1" s="1"/>
  <c r="C51" i="1" a="1"/>
  <c r="C51" i="1" s="1"/>
  <c r="U50" i="1" a="1"/>
  <c r="U50" i="1" s="1"/>
  <c r="M50" i="1" a="1"/>
  <c r="M50" i="1" s="1"/>
  <c r="L50" i="1" a="1"/>
  <c r="L50" i="1" s="1"/>
  <c r="K50" i="1" a="1"/>
  <c r="K50" i="1" s="1"/>
  <c r="J50" i="1" a="1"/>
  <c r="J50" i="1" s="1"/>
  <c r="C50" i="1" a="1"/>
  <c r="C50" i="1" s="1"/>
  <c r="U49" i="1" a="1"/>
  <c r="U49" i="1" s="1"/>
  <c r="M49" i="1" a="1"/>
  <c r="M49" i="1" s="1"/>
  <c r="L49" i="1" a="1"/>
  <c r="L49" i="1" s="1"/>
  <c r="K49" i="1" a="1"/>
  <c r="K49" i="1" s="1"/>
  <c r="J49" i="1" a="1"/>
  <c r="J49" i="1" s="1"/>
  <c r="C49" i="1" a="1"/>
  <c r="C49" i="1" s="1"/>
  <c r="U48" i="1" a="1"/>
  <c r="U48" i="1" s="1"/>
  <c r="M48" i="1" a="1"/>
  <c r="M48" i="1" s="1"/>
  <c r="L48" i="1" a="1"/>
  <c r="L48" i="1" s="1"/>
  <c r="K48" i="1" a="1"/>
  <c r="K48" i="1" s="1"/>
  <c r="J48" i="1" a="1"/>
  <c r="J48" i="1" s="1"/>
  <c r="C48" i="1" a="1"/>
  <c r="C48" i="1" s="1"/>
  <c r="M47" i="1" a="1"/>
  <c r="M47" i="1" s="1"/>
  <c r="L47" i="1" a="1"/>
  <c r="L47" i="1" s="1"/>
  <c r="K47" i="1" a="1"/>
  <c r="K47" i="1" s="1"/>
  <c r="J47" i="1" a="1"/>
  <c r="J47" i="1" s="1"/>
  <c r="C47" i="1" a="1"/>
  <c r="C47" i="1" s="1"/>
  <c r="U46" i="1" a="1"/>
  <c r="U46" i="1" s="1"/>
  <c r="M46" i="1" a="1"/>
  <c r="M46" i="1" s="1"/>
  <c r="L46" i="1" a="1"/>
  <c r="L46" i="1" s="1"/>
  <c r="K46" i="1" a="1"/>
  <c r="K46" i="1" s="1"/>
  <c r="J46" i="1" a="1"/>
  <c r="J46" i="1" s="1"/>
  <c r="C46" i="1" a="1"/>
  <c r="C46" i="1" s="1"/>
  <c r="T37" i="1" a="1"/>
  <c r="T37" i="1" s="1"/>
  <c r="R37" i="1" a="1"/>
  <c r="R37" i="1" s="1"/>
  <c r="O37" i="1" a="1"/>
  <c r="O37" i="1" s="1"/>
  <c r="O72" i="1" s="1"/>
  <c r="N37" i="1" a="1"/>
  <c r="N37" i="1" s="1"/>
  <c r="N72" i="1" s="1"/>
  <c r="M37" i="1" a="1"/>
  <c r="M37" i="1" s="1"/>
  <c r="L37" i="1" a="1"/>
  <c r="L37" i="1" s="1"/>
  <c r="K37" i="1" a="1"/>
  <c r="K37" i="1" s="1"/>
  <c r="J37" i="1" a="1"/>
  <c r="J37" i="1" s="1"/>
  <c r="I37" i="1" a="1"/>
  <c r="I37" i="1" s="1"/>
  <c r="H37" i="1" a="1"/>
  <c r="H37" i="1" s="1"/>
  <c r="G37" i="1" a="1"/>
  <c r="G37" i="1" s="1"/>
  <c r="F37" i="1" a="1"/>
  <c r="F37" i="1" s="1"/>
  <c r="E37" i="1" a="1"/>
  <c r="E37" i="1" s="1"/>
  <c r="D37" i="1" a="1"/>
  <c r="D37" i="1" s="1"/>
  <c r="C37" i="1" a="1"/>
  <c r="C37" i="1" s="1"/>
  <c r="B37" i="1" a="1"/>
  <c r="B37" i="1" s="1"/>
  <c r="P45" i="1" l="1"/>
  <c r="Q45" i="1" s="1"/>
  <c r="P44" i="1"/>
  <c r="Q44" i="1" s="1"/>
  <c r="U21" i="1"/>
  <c r="V22" i="1"/>
  <c r="V21" i="1"/>
  <c r="U22" i="1"/>
  <c r="L72" i="1"/>
  <c r="M72" i="1"/>
  <c r="J72" i="1"/>
  <c r="K72" i="1"/>
  <c r="P64" i="1"/>
  <c r="R64" i="1" s="1"/>
  <c r="P67" i="1"/>
  <c r="Q67" i="1" s="1"/>
  <c r="P66" i="1"/>
  <c r="Q66" i="1" s="1"/>
  <c r="P65" i="1"/>
  <c r="Q65" i="1" s="1"/>
  <c r="P57" i="1"/>
  <c r="Q57" i="1" s="1"/>
  <c r="P61" i="1"/>
  <c r="Q61" i="1" s="1"/>
  <c r="P63" i="1"/>
  <c r="Q63" i="1" s="1"/>
  <c r="P62" i="1"/>
  <c r="Q62" i="1" s="1"/>
  <c r="P60" i="1"/>
  <c r="Q60" i="1" s="1"/>
  <c r="P59" i="1"/>
  <c r="Q59" i="1" s="1"/>
  <c r="P55" i="1"/>
  <c r="Q55" i="1" s="1"/>
  <c r="P54" i="1"/>
  <c r="Q54" i="1" s="1"/>
  <c r="P50" i="1"/>
  <c r="Q50" i="1" s="1"/>
  <c r="P49" i="1"/>
  <c r="Q49" i="1" s="1"/>
  <c r="P58" i="1"/>
  <c r="Q58" i="1" s="1"/>
  <c r="P56" i="1"/>
  <c r="Q56" i="1" s="1"/>
  <c r="P53" i="1"/>
  <c r="Q53" i="1" s="1"/>
  <c r="P52" i="1"/>
  <c r="Q52" i="1" s="1"/>
  <c r="P51" i="1"/>
  <c r="Q51" i="1" s="1"/>
  <c r="R50" i="1"/>
  <c r="S50" i="1" s="1"/>
  <c r="V50" i="1" s="1"/>
  <c r="P48" i="1"/>
  <c r="Q48" i="1" s="1"/>
  <c r="P47" i="1"/>
  <c r="Q47" i="1" s="1"/>
  <c r="P46" i="1"/>
  <c r="Q46" i="1" s="1"/>
  <c r="R57" i="1" l="1"/>
  <c r="S57" i="1" s="1"/>
  <c r="V57" i="1" s="1"/>
  <c r="R44" i="1"/>
  <c r="S44" i="1" s="1"/>
  <c r="V44" i="1" s="1"/>
  <c r="R45" i="1"/>
  <c r="S45" i="1" s="1"/>
  <c r="V45" i="1" s="1"/>
  <c r="R65" i="1"/>
  <c r="S65" i="1" s="1"/>
  <c r="V65" i="1" s="1"/>
  <c r="S64" i="1"/>
  <c r="Q64" i="1"/>
  <c r="R67" i="1"/>
  <c r="S67" i="1" s="1"/>
  <c r="V67" i="1" s="1"/>
  <c r="R66" i="1"/>
  <c r="S66" i="1" s="1"/>
  <c r="V66" i="1" s="1"/>
  <c r="R61" i="1"/>
  <c r="S61" i="1" s="1"/>
  <c r="V61" i="1" s="1"/>
  <c r="R60" i="1"/>
  <c r="S60" i="1" s="1"/>
  <c r="V60" i="1" s="1"/>
  <c r="R62" i="1"/>
  <c r="S62" i="1" s="1"/>
  <c r="V62" i="1" s="1"/>
  <c r="R63" i="1"/>
  <c r="S63" i="1" s="1"/>
  <c r="V63" i="1" s="1"/>
  <c r="R55" i="1"/>
  <c r="S55" i="1" s="1"/>
  <c r="V55" i="1" s="1"/>
  <c r="R54" i="1"/>
  <c r="S54" i="1" s="1"/>
  <c r="V54" i="1" s="1"/>
  <c r="R49" i="1"/>
  <c r="S49" i="1" s="1"/>
  <c r="V49" i="1" s="1"/>
  <c r="R58" i="1"/>
  <c r="S58" i="1" s="1"/>
  <c r="V58" i="1" s="1"/>
  <c r="R56" i="1"/>
  <c r="S56" i="1" s="1"/>
  <c r="V56" i="1" s="1"/>
  <c r="R53" i="1"/>
  <c r="S53" i="1" s="1"/>
  <c r="V53" i="1" s="1"/>
  <c r="R52" i="1"/>
  <c r="S52" i="1" s="1"/>
  <c r="V52" i="1" s="1"/>
  <c r="R51" i="1"/>
  <c r="S51" i="1" s="1"/>
  <c r="V51" i="1" s="1"/>
  <c r="R48" i="1"/>
  <c r="S48" i="1" s="1"/>
  <c r="V48" i="1" s="1"/>
  <c r="R46" i="1"/>
  <c r="S46" i="1" s="1"/>
  <c r="V46" i="1" s="1"/>
  <c r="V64" i="1" l="1"/>
  <c r="AA9" i="1" l="1"/>
  <c r="Y9" i="1"/>
  <c r="X9" i="1"/>
  <c r="S9" i="1"/>
  <c r="P9" i="1"/>
  <c r="U9" i="1" s="1"/>
  <c r="AN74" i="10"/>
  <c r="AM74" i="10"/>
  <c r="AL74" i="10"/>
  <c r="AN73" i="10"/>
  <c r="AM73" i="10"/>
  <c r="AN72" i="10"/>
  <c r="AM72" i="10"/>
  <c r="AN71" i="10"/>
  <c r="AM71" i="10"/>
  <c r="AL71" i="10"/>
  <c r="AN70" i="10"/>
  <c r="AM70" i="10"/>
  <c r="AN69" i="10"/>
  <c r="AM69" i="10"/>
  <c r="AL69" i="10"/>
  <c r="AN68" i="10"/>
  <c r="AM68" i="10"/>
  <c r="AN67" i="10"/>
  <c r="AM67" i="10"/>
  <c r="AN66" i="10"/>
  <c r="AM66" i="10"/>
  <c r="AN65" i="10"/>
  <c r="AM65" i="10"/>
  <c r="AL65" i="10"/>
  <c r="AN64" i="10"/>
  <c r="AM64" i="10"/>
  <c r="AN63" i="10"/>
  <c r="AM63" i="10"/>
  <c r="AN62" i="10"/>
  <c r="AM62" i="10"/>
  <c r="AN61" i="10"/>
  <c r="AM61" i="10"/>
  <c r="AN60" i="10"/>
  <c r="AM60" i="10"/>
  <c r="AN59" i="10"/>
  <c r="AM59" i="10"/>
  <c r="AN58" i="10"/>
  <c r="AM58" i="10"/>
  <c r="AL58" i="10"/>
  <c r="AN54" i="10"/>
  <c r="AM54" i="10"/>
  <c r="AL54" i="10"/>
  <c r="AN53" i="10"/>
  <c r="AM53" i="10"/>
  <c r="AN52" i="10"/>
  <c r="AM52" i="10"/>
  <c r="AN51" i="10"/>
  <c r="AM51" i="10"/>
  <c r="AL51" i="10"/>
  <c r="AN50" i="10"/>
  <c r="AM50" i="10"/>
  <c r="AN49" i="10"/>
  <c r="AM49" i="10"/>
  <c r="AL49" i="10"/>
  <c r="AN48" i="10"/>
  <c r="AM48" i="10"/>
  <c r="AN47" i="10"/>
  <c r="AM47" i="10"/>
  <c r="AN46" i="10"/>
  <c r="AM46" i="10"/>
  <c r="AN45" i="10"/>
  <c r="AM45" i="10"/>
  <c r="AL45" i="10"/>
  <c r="AN44" i="10"/>
  <c r="AM44" i="10"/>
  <c r="AN43" i="10"/>
  <c r="AM43" i="10"/>
  <c r="AL43" i="10"/>
  <c r="AN42" i="10"/>
  <c r="AM42" i="10"/>
  <c r="AN41" i="10"/>
  <c r="AM41" i="10"/>
  <c r="AN40" i="10"/>
  <c r="AM40" i="10"/>
  <c r="AN39" i="10"/>
  <c r="AM39" i="10"/>
  <c r="AN38" i="10"/>
  <c r="AM38" i="10"/>
  <c r="AL38" i="10"/>
  <c r="AL73" i="10"/>
  <c r="AL72" i="10"/>
  <c r="AL15" i="10"/>
  <c r="AL50" i="10" s="1"/>
  <c r="AL13" i="10"/>
  <c r="AL68" i="10" s="1"/>
  <c r="AL12" i="10"/>
  <c r="AL67" i="10" s="1"/>
  <c r="AL11" i="10"/>
  <c r="AL46" i="10" s="1"/>
  <c r="AL9" i="10"/>
  <c r="AL64" i="10" s="1"/>
  <c r="AL63" i="10"/>
  <c r="AL7" i="10"/>
  <c r="AL42" i="10" s="1"/>
  <c r="AL61" i="10"/>
  <c r="AL60" i="10"/>
  <c r="AL59" i="10"/>
  <c r="Q9" i="1" l="1"/>
  <c r="V9" i="1" s="1"/>
  <c r="AL66" i="10"/>
  <c r="AL47" i="10"/>
  <c r="AL39" i="10"/>
  <c r="AL62" i="10"/>
  <c r="AL40" i="10"/>
  <c r="AL44" i="10"/>
  <c r="AL48" i="10"/>
  <c r="AL52" i="10"/>
  <c r="AL41" i="10"/>
  <c r="AL53" i="10"/>
  <c r="AL70" i="10"/>
  <c r="AM20" i="1"/>
  <c r="AM19" i="1"/>
  <c r="AM17" i="1"/>
  <c r="AM14" i="1"/>
  <c r="AM15" i="1"/>
  <c r="AM13" i="1"/>
  <c r="AM6" i="1"/>
  <c r="AM7" i="1"/>
  <c r="AM8" i="1"/>
  <c r="AM10" i="1"/>
  <c r="AM11" i="1"/>
  <c r="AM5" i="1"/>
  <c r="X20" i="1"/>
  <c r="X19" i="1"/>
  <c r="X17" i="1"/>
  <c r="X14" i="1"/>
  <c r="X15" i="1"/>
  <c r="X13" i="1"/>
  <c r="X6" i="1"/>
  <c r="X7" i="1"/>
  <c r="X8" i="1"/>
  <c r="X10" i="1"/>
  <c r="X11" i="1"/>
  <c r="X5" i="1"/>
  <c r="R4" i="5"/>
  <c r="R5" i="5"/>
  <c r="R3" i="5"/>
  <c r="R41" i="5"/>
  <c r="R42" i="5"/>
  <c r="R9" i="3"/>
  <c r="R4" i="3"/>
  <c r="R5" i="3"/>
  <c r="R6" i="3"/>
  <c r="R7" i="3"/>
  <c r="R3" i="3"/>
  <c r="R43" i="3"/>
  <c r="R44" i="3"/>
  <c r="R4" i="13"/>
  <c r="R5" i="13"/>
  <c r="R6" i="13"/>
  <c r="R3" i="13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3" i="12"/>
  <c r="R4" i="7"/>
  <c r="R5" i="7"/>
  <c r="R6" i="7"/>
  <c r="R7" i="7"/>
  <c r="R8" i="7"/>
  <c r="R9" i="7"/>
  <c r="R3" i="7"/>
  <c r="R4" i="9"/>
  <c r="R5" i="9"/>
  <c r="R6" i="9"/>
  <c r="R7" i="9"/>
  <c r="R8" i="9"/>
  <c r="R9" i="9"/>
  <c r="R10" i="9"/>
  <c r="R11" i="9"/>
  <c r="R12" i="9"/>
  <c r="R13" i="9"/>
  <c r="R14" i="9"/>
  <c r="R3" i="9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3" i="10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4" i="1"/>
  <c r="Z9" i="7"/>
  <c r="Z64" i="7" s="1"/>
  <c r="X9" i="7"/>
  <c r="X44" i="7" s="1"/>
  <c r="W9" i="7"/>
  <c r="O9" i="7"/>
  <c r="T9" i="7" s="1"/>
  <c r="AT74" i="5"/>
  <c r="AS74" i="5"/>
  <c r="AR74" i="5"/>
  <c r="AQ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AT73" i="5"/>
  <c r="AS73" i="5"/>
  <c r="AR73" i="5"/>
  <c r="AQ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AT72" i="5"/>
  <c r="AS72" i="5"/>
  <c r="AR72" i="5"/>
  <c r="AQ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AT71" i="5"/>
  <c r="AS71" i="5"/>
  <c r="AR71" i="5"/>
  <c r="AQ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AT70" i="5"/>
  <c r="AS70" i="5"/>
  <c r="AR70" i="5"/>
  <c r="AQ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AT69" i="5"/>
  <c r="AS69" i="5"/>
  <c r="AR69" i="5"/>
  <c r="AQ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AT68" i="5"/>
  <c r="AS68" i="5"/>
  <c r="AR68" i="5"/>
  <c r="AQ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AT67" i="5"/>
  <c r="AS67" i="5"/>
  <c r="AR67" i="5"/>
  <c r="AQ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AT66" i="5"/>
  <c r="AS66" i="5"/>
  <c r="AR66" i="5"/>
  <c r="AQ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AT65" i="5"/>
  <c r="AS65" i="5"/>
  <c r="AR65" i="5"/>
  <c r="AQ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AT64" i="5"/>
  <c r="AS64" i="5"/>
  <c r="AR64" i="5"/>
  <c r="AQ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AT63" i="5"/>
  <c r="AS63" i="5"/>
  <c r="AR63" i="5"/>
  <c r="AQ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AT62" i="5"/>
  <c r="AS62" i="5"/>
  <c r="AR62" i="5"/>
  <c r="AQ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AT61" i="5"/>
  <c r="AS61" i="5"/>
  <c r="AR61" i="5"/>
  <c r="AQ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AT60" i="5"/>
  <c r="AS60" i="5"/>
  <c r="AR60" i="5"/>
  <c r="AQ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Y60" i="5"/>
  <c r="AT59" i="5"/>
  <c r="AS59" i="5"/>
  <c r="AR59" i="5"/>
  <c r="AQ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Y59" i="5"/>
  <c r="AT58" i="5"/>
  <c r="AS58" i="5"/>
  <c r="AR58" i="5"/>
  <c r="AQ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Y58" i="5"/>
  <c r="AT54" i="5"/>
  <c r="AS54" i="5"/>
  <c r="AR54" i="5"/>
  <c r="AQ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AT53" i="5"/>
  <c r="AS53" i="5"/>
  <c r="AR53" i="5"/>
  <c r="AQ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AT52" i="5"/>
  <c r="AS52" i="5"/>
  <c r="AR52" i="5"/>
  <c r="AQ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AT51" i="5"/>
  <c r="AS51" i="5"/>
  <c r="AR51" i="5"/>
  <c r="AQ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AT50" i="5"/>
  <c r="AS50" i="5"/>
  <c r="AR50" i="5"/>
  <c r="AQ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AT49" i="5"/>
  <c r="AS49" i="5"/>
  <c r="AR49" i="5"/>
  <c r="AQ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AT48" i="5"/>
  <c r="AS48" i="5"/>
  <c r="AR48" i="5"/>
  <c r="AQ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AT47" i="5"/>
  <c r="AS47" i="5"/>
  <c r="AR47" i="5"/>
  <c r="AQ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AT46" i="5"/>
  <c r="AS46" i="5"/>
  <c r="AR46" i="5"/>
  <c r="AQ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AT45" i="5"/>
  <c r="AS45" i="5"/>
  <c r="AR45" i="5"/>
  <c r="AQ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AT44" i="5"/>
  <c r="AS44" i="5"/>
  <c r="AR44" i="5"/>
  <c r="AQ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AT43" i="5"/>
  <c r="AS43" i="5"/>
  <c r="AR43" i="5"/>
  <c r="AQ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AT42" i="5"/>
  <c r="AS42" i="5"/>
  <c r="AR42" i="5"/>
  <c r="AQ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AT41" i="5"/>
  <c r="AS41" i="5"/>
  <c r="AR41" i="5"/>
  <c r="AQ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AT40" i="5"/>
  <c r="AS40" i="5"/>
  <c r="AR40" i="5"/>
  <c r="AQ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Y40" i="5"/>
  <c r="AT39" i="5"/>
  <c r="AS39" i="5"/>
  <c r="AR39" i="5"/>
  <c r="AQ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Y39" i="5"/>
  <c r="AT38" i="5"/>
  <c r="AS38" i="5"/>
  <c r="AR38" i="5"/>
  <c r="AQ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Y38" i="5"/>
  <c r="AT74" i="3"/>
  <c r="AS74" i="3"/>
  <c r="AR74" i="3"/>
  <c r="AQ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AT73" i="3"/>
  <c r="AS73" i="3"/>
  <c r="AR73" i="3"/>
  <c r="AQ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AT72" i="3"/>
  <c r="AS72" i="3"/>
  <c r="AR72" i="3"/>
  <c r="AQ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AT71" i="3"/>
  <c r="AS71" i="3"/>
  <c r="AR71" i="3"/>
  <c r="AQ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AT70" i="3"/>
  <c r="AS70" i="3"/>
  <c r="AR70" i="3"/>
  <c r="AQ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AT69" i="3"/>
  <c r="AS69" i="3"/>
  <c r="AR69" i="3"/>
  <c r="AQ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AT68" i="3"/>
  <c r="AS68" i="3"/>
  <c r="AR68" i="3"/>
  <c r="AQ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AT67" i="3"/>
  <c r="AS67" i="3"/>
  <c r="AR67" i="3"/>
  <c r="AQ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AT66" i="3"/>
  <c r="AS66" i="3"/>
  <c r="AR66" i="3"/>
  <c r="AQ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AT65" i="3"/>
  <c r="AS65" i="3"/>
  <c r="AR65" i="3"/>
  <c r="AQ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AT64" i="3"/>
  <c r="AS64" i="3"/>
  <c r="AR64" i="3"/>
  <c r="AQ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Y64" i="3"/>
  <c r="AT63" i="3"/>
  <c r="AS63" i="3"/>
  <c r="AR63" i="3"/>
  <c r="AQ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AT62" i="3"/>
  <c r="AS62" i="3"/>
  <c r="AR62" i="3"/>
  <c r="AQ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Y62" i="3"/>
  <c r="AT61" i="3"/>
  <c r="AS61" i="3"/>
  <c r="AR61" i="3"/>
  <c r="AQ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Y61" i="3"/>
  <c r="AT60" i="3"/>
  <c r="AS60" i="3"/>
  <c r="AR60" i="3"/>
  <c r="AQ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Y60" i="3"/>
  <c r="AT59" i="3"/>
  <c r="AS59" i="3"/>
  <c r="AR59" i="3"/>
  <c r="AQ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Y59" i="3"/>
  <c r="AT58" i="3"/>
  <c r="AS58" i="3"/>
  <c r="AR58" i="3"/>
  <c r="AQ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Y58" i="3"/>
  <c r="AT54" i="3"/>
  <c r="AS54" i="3"/>
  <c r="AR54" i="3"/>
  <c r="AQ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AT53" i="3"/>
  <c r="AS53" i="3"/>
  <c r="AR53" i="3"/>
  <c r="AQ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AT52" i="3"/>
  <c r="AS52" i="3"/>
  <c r="AR52" i="3"/>
  <c r="AQ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AT51" i="3"/>
  <c r="AS51" i="3"/>
  <c r="AR51" i="3"/>
  <c r="AQ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AT50" i="3"/>
  <c r="AS50" i="3"/>
  <c r="AR50" i="3"/>
  <c r="AQ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AT49" i="3"/>
  <c r="AS49" i="3"/>
  <c r="AR49" i="3"/>
  <c r="AQ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AT48" i="3"/>
  <c r="AS48" i="3"/>
  <c r="AR48" i="3"/>
  <c r="AQ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AT47" i="3"/>
  <c r="AS47" i="3"/>
  <c r="AR47" i="3"/>
  <c r="AQ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AT46" i="3"/>
  <c r="AS46" i="3"/>
  <c r="AR46" i="3"/>
  <c r="AQ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AT45" i="3"/>
  <c r="AS45" i="3"/>
  <c r="AR45" i="3"/>
  <c r="AQ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AT44" i="3"/>
  <c r="AS44" i="3"/>
  <c r="AR44" i="3"/>
  <c r="AQ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Y44" i="3"/>
  <c r="AT43" i="3"/>
  <c r="AS43" i="3"/>
  <c r="AR43" i="3"/>
  <c r="AQ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AT42" i="3"/>
  <c r="AS42" i="3"/>
  <c r="AR42" i="3"/>
  <c r="AQ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Y42" i="3"/>
  <c r="AT41" i="3"/>
  <c r="AS41" i="3"/>
  <c r="AR41" i="3"/>
  <c r="AQ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Y41" i="3"/>
  <c r="AT40" i="3"/>
  <c r="AS40" i="3"/>
  <c r="AR40" i="3"/>
  <c r="AQ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Y40" i="3"/>
  <c r="AT39" i="3"/>
  <c r="AS39" i="3"/>
  <c r="AR39" i="3"/>
  <c r="AQ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Y39" i="3"/>
  <c r="AT38" i="3"/>
  <c r="AS38" i="3"/>
  <c r="AR38" i="3"/>
  <c r="AQ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Y38" i="3"/>
  <c r="AT74" i="13"/>
  <c r="AS74" i="13"/>
  <c r="AR74" i="13"/>
  <c r="AQ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AT73" i="13"/>
  <c r="AS73" i="13"/>
  <c r="AR73" i="13"/>
  <c r="AQ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AT72" i="13"/>
  <c r="AS72" i="13"/>
  <c r="AR72" i="13"/>
  <c r="AQ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AT71" i="13"/>
  <c r="AS71" i="13"/>
  <c r="AR71" i="13"/>
  <c r="AQ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AT70" i="13"/>
  <c r="AS70" i="13"/>
  <c r="AR70" i="13"/>
  <c r="AQ70" i="13"/>
  <c r="AO70" i="13"/>
  <c r="AN70" i="13"/>
  <c r="AM70" i="13"/>
  <c r="AL70" i="13"/>
  <c r="AK70" i="13"/>
  <c r="AJ70" i="13"/>
  <c r="AI70" i="13"/>
  <c r="AH70" i="13"/>
  <c r="AG70" i="13"/>
  <c r="AF70" i="13"/>
  <c r="AE70" i="13"/>
  <c r="AD70" i="13"/>
  <c r="AC70" i="13"/>
  <c r="AB70" i="13"/>
  <c r="AA70" i="13"/>
  <c r="Z70" i="13"/>
  <c r="Y70" i="13"/>
  <c r="X70" i="13"/>
  <c r="W70" i="13"/>
  <c r="AT69" i="13"/>
  <c r="AS69" i="13"/>
  <c r="AR69" i="13"/>
  <c r="AQ69" i="13"/>
  <c r="AO69" i="13"/>
  <c r="AN69" i="13"/>
  <c r="AM69" i="13"/>
  <c r="AL69" i="13"/>
  <c r="AK69" i="13"/>
  <c r="AJ69" i="13"/>
  <c r="AI69" i="13"/>
  <c r="AH69" i="13"/>
  <c r="AG69" i="13"/>
  <c r="AF69" i="13"/>
  <c r="AE69" i="13"/>
  <c r="AD69" i="13"/>
  <c r="AC69" i="13"/>
  <c r="AB69" i="13"/>
  <c r="AA69" i="13"/>
  <c r="Z69" i="13"/>
  <c r="Y69" i="13"/>
  <c r="X69" i="13"/>
  <c r="W69" i="13"/>
  <c r="AT68" i="13"/>
  <c r="AS68" i="13"/>
  <c r="AR68" i="13"/>
  <c r="AQ68" i="13"/>
  <c r="AO68" i="13"/>
  <c r="AN68" i="13"/>
  <c r="AM68" i="13"/>
  <c r="AL68" i="13"/>
  <c r="AK68" i="13"/>
  <c r="AJ68" i="13"/>
  <c r="AI68" i="13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AT67" i="13"/>
  <c r="AS67" i="13"/>
  <c r="AR67" i="13"/>
  <c r="AQ67" i="13"/>
  <c r="AO67" i="13"/>
  <c r="AN67" i="13"/>
  <c r="AM67" i="13"/>
  <c r="AL67" i="13"/>
  <c r="AK67" i="13"/>
  <c r="AJ67" i="13"/>
  <c r="AI67" i="13"/>
  <c r="AH67" i="13"/>
  <c r="AG67" i="13"/>
  <c r="AF67" i="13"/>
  <c r="AE67" i="13"/>
  <c r="AD67" i="13"/>
  <c r="AC67" i="13"/>
  <c r="AB67" i="13"/>
  <c r="AA67" i="13"/>
  <c r="Z67" i="13"/>
  <c r="Y67" i="13"/>
  <c r="X67" i="13"/>
  <c r="W67" i="13"/>
  <c r="AT66" i="13"/>
  <c r="AS66" i="13"/>
  <c r="AR66" i="13"/>
  <c r="AQ66" i="13"/>
  <c r="AO66" i="13"/>
  <c r="AN66" i="13"/>
  <c r="AM66" i="13"/>
  <c r="AL66" i="13"/>
  <c r="AK66" i="13"/>
  <c r="AJ66" i="13"/>
  <c r="AI66" i="13"/>
  <c r="AH66" i="13"/>
  <c r="AG66" i="13"/>
  <c r="AF66" i="13"/>
  <c r="AE66" i="13"/>
  <c r="AD66" i="13"/>
  <c r="AC66" i="13"/>
  <c r="AB66" i="13"/>
  <c r="AA66" i="13"/>
  <c r="Z66" i="13"/>
  <c r="Y66" i="13"/>
  <c r="X66" i="13"/>
  <c r="W66" i="13"/>
  <c r="AT65" i="13"/>
  <c r="AS65" i="13"/>
  <c r="AR65" i="13"/>
  <c r="AQ65" i="13"/>
  <c r="AO65" i="13"/>
  <c r="AN65" i="13"/>
  <c r="AM65" i="13"/>
  <c r="AL65" i="13"/>
  <c r="AK65" i="13"/>
  <c r="AJ65" i="13"/>
  <c r="AI65" i="13"/>
  <c r="AH65" i="13"/>
  <c r="AG65" i="13"/>
  <c r="AF65" i="13"/>
  <c r="AE65" i="13"/>
  <c r="AD65" i="13"/>
  <c r="AC65" i="13"/>
  <c r="AB65" i="13"/>
  <c r="AA65" i="13"/>
  <c r="Z65" i="13"/>
  <c r="Y65" i="13"/>
  <c r="X65" i="13"/>
  <c r="W65" i="13"/>
  <c r="AT64" i="13"/>
  <c r="AS64" i="13"/>
  <c r="AR64" i="13"/>
  <c r="AQ64" i="13"/>
  <c r="AO64" i="13"/>
  <c r="AN64" i="13"/>
  <c r="AM64" i="13"/>
  <c r="AL64" i="13"/>
  <c r="AK64" i="13"/>
  <c r="AJ64" i="13"/>
  <c r="AI64" i="13"/>
  <c r="AH64" i="13"/>
  <c r="AG64" i="13"/>
  <c r="AF64" i="13"/>
  <c r="AE64" i="13"/>
  <c r="AD64" i="13"/>
  <c r="AC64" i="13"/>
  <c r="AB64" i="13"/>
  <c r="AA64" i="13"/>
  <c r="Z64" i="13"/>
  <c r="Y64" i="13"/>
  <c r="X64" i="13"/>
  <c r="W64" i="13"/>
  <c r="AT63" i="13"/>
  <c r="AS63" i="13"/>
  <c r="AR63" i="13"/>
  <c r="AQ63" i="13"/>
  <c r="AO63" i="13"/>
  <c r="AN63" i="13"/>
  <c r="AM63" i="13"/>
  <c r="AL63" i="13"/>
  <c r="AK63" i="13"/>
  <c r="AJ63" i="13"/>
  <c r="AI63" i="13"/>
  <c r="AH63" i="13"/>
  <c r="AG63" i="13"/>
  <c r="AF63" i="13"/>
  <c r="AE63" i="13"/>
  <c r="AD63" i="13"/>
  <c r="AC63" i="13"/>
  <c r="AB63" i="13"/>
  <c r="AA63" i="13"/>
  <c r="Z63" i="13"/>
  <c r="Y63" i="13"/>
  <c r="X63" i="13"/>
  <c r="W63" i="13"/>
  <c r="AT62" i="13"/>
  <c r="AS62" i="13"/>
  <c r="AR62" i="13"/>
  <c r="AQ62" i="13"/>
  <c r="AO62" i="13"/>
  <c r="AN62" i="13"/>
  <c r="AM62" i="13"/>
  <c r="AL62" i="13"/>
  <c r="AK62" i="13"/>
  <c r="AJ62" i="13"/>
  <c r="AI62" i="13"/>
  <c r="AH62" i="13"/>
  <c r="AG62" i="13"/>
  <c r="AF62" i="13"/>
  <c r="AE62" i="13"/>
  <c r="AD62" i="13"/>
  <c r="AC62" i="13"/>
  <c r="AB62" i="13"/>
  <c r="AA62" i="13"/>
  <c r="Z62" i="13"/>
  <c r="Y62" i="13"/>
  <c r="X62" i="13"/>
  <c r="W62" i="13"/>
  <c r="AT61" i="13"/>
  <c r="AS61" i="13"/>
  <c r="AR61" i="13"/>
  <c r="AQ61" i="13"/>
  <c r="AO61" i="13"/>
  <c r="AN61" i="13"/>
  <c r="AM61" i="13"/>
  <c r="AL61" i="13"/>
  <c r="AK61" i="13"/>
  <c r="AJ61" i="13"/>
  <c r="AI61" i="13"/>
  <c r="AH61" i="13"/>
  <c r="AG61" i="13"/>
  <c r="AF61" i="13"/>
  <c r="AE61" i="13"/>
  <c r="AD61" i="13"/>
  <c r="AC61" i="13"/>
  <c r="AB61" i="13"/>
  <c r="AA61" i="13"/>
  <c r="Y61" i="13"/>
  <c r="AT60" i="13"/>
  <c r="AS60" i="13"/>
  <c r="AR60" i="13"/>
  <c r="AQ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Y60" i="13"/>
  <c r="AT59" i="13"/>
  <c r="AS59" i="13"/>
  <c r="AR59" i="13"/>
  <c r="AQ59" i="13"/>
  <c r="AO59" i="13"/>
  <c r="AN59" i="13"/>
  <c r="AM59" i="13"/>
  <c r="AL59" i="13"/>
  <c r="AK59" i="13"/>
  <c r="AJ59" i="13"/>
  <c r="AI59" i="13"/>
  <c r="AH59" i="13"/>
  <c r="AG59" i="13"/>
  <c r="AF59" i="13"/>
  <c r="AE59" i="13"/>
  <c r="AD59" i="13"/>
  <c r="AC59" i="13"/>
  <c r="AB59" i="13"/>
  <c r="AA59" i="13"/>
  <c r="Y59" i="13"/>
  <c r="AT58" i="13"/>
  <c r="AS58" i="13"/>
  <c r="AR58" i="13"/>
  <c r="AQ58" i="13"/>
  <c r="AO58" i="13"/>
  <c r="AN58" i="13"/>
  <c r="AM58" i="13"/>
  <c r="AL58" i="13"/>
  <c r="AK58" i="13"/>
  <c r="AJ58" i="13"/>
  <c r="AI58" i="13"/>
  <c r="AH58" i="13"/>
  <c r="AG58" i="13"/>
  <c r="AF58" i="13"/>
  <c r="AE58" i="13"/>
  <c r="AD58" i="13"/>
  <c r="AC58" i="13"/>
  <c r="AB58" i="13"/>
  <c r="AA58" i="13"/>
  <c r="Y58" i="13"/>
  <c r="AT54" i="13"/>
  <c r="AS54" i="13"/>
  <c r="AR54" i="13"/>
  <c r="AQ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AT53" i="13"/>
  <c r="AS53" i="13"/>
  <c r="AR53" i="13"/>
  <c r="AQ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AT52" i="13"/>
  <c r="AS52" i="13"/>
  <c r="AR52" i="13"/>
  <c r="AQ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AT51" i="13"/>
  <c r="AS51" i="13"/>
  <c r="AR51" i="13"/>
  <c r="AQ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AT50" i="13"/>
  <c r="AS50" i="13"/>
  <c r="AR50" i="13"/>
  <c r="AQ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AT49" i="13"/>
  <c r="AS49" i="13"/>
  <c r="AR49" i="13"/>
  <c r="AQ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AT48" i="13"/>
  <c r="AS48" i="13"/>
  <c r="AR48" i="13"/>
  <c r="AQ48" i="13"/>
  <c r="AO48" i="13"/>
  <c r="AN48" i="13"/>
  <c r="AM48" i="13"/>
  <c r="AL48" i="13"/>
  <c r="AK48" i="13"/>
  <c r="AJ48" i="13"/>
  <c r="AI48" i="13"/>
  <c r="AH48" i="13"/>
  <c r="AG48" i="13"/>
  <c r="AF48" i="13"/>
  <c r="AE48" i="13"/>
  <c r="AD48" i="13"/>
  <c r="AC48" i="13"/>
  <c r="AB48" i="13"/>
  <c r="AA48" i="13"/>
  <c r="Z48" i="13"/>
  <c r="Y48" i="13"/>
  <c r="X48" i="13"/>
  <c r="W48" i="13"/>
  <c r="AT47" i="13"/>
  <c r="AS47" i="13"/>
  <c r="AR47" i="13"/>
  <c r="AQ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AT46" i="13"/>
  <c r="AS46" i="13"/>
  <c r="AR46" i="13"/>
  <c r="AQ46" i="13"/>
  <c r="AO46" i="13"/>
  <c r="AN46" i="13"/>
  <c r="AM46" i="13"/>
  <c r="AL46" i="13"/>
  <c r="AK46" i="13"/>
  <c r="AJ46" i="13"/>
  <c r="AI46" i="13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AT45" i="13"/>
  <c r="AS45" i="13"/>
  <c r="AR45" i="13"/>
  <c r="AQ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AT44" i="13"/>
  <c r="AS44" i="13"/>
  <c r="AR44" i="13"/>
  <c r="AQ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AT43" i="13"/>
  <c r="AS43" i="13"/>
  <c r="AR43" i="13"/>
  <c r="AQ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AT42" i="13"/>
  <c r="AS42" i="13"/>
  <c r="AR42" i="13"/>
  <c r="AQ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AT41" i="13"/>
  <c r="AS41" i="13"/>
  <c r="AR41" i="13"/>
  <c r="AQ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Y41" i="13"/>
  <c r="AT40" i="13"/>
  <c r="AS40" i="13"/>
  <c r="AR40" i="13"/>
  <c r="AQ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Y40" i="13"/>
  <c r="AT39" i="13"/>
  <c r="AS39" i="13"/>
  <c r="AR39" i="13"/>
  <c r="AQ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Y39" i="13"/>
  <c r="AT38" i="13"/>
  <c r="AS38" i="13"/>
  <c r="AR38" i="13"/>
  <c r="AQ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Y38" i="13"/>
  <c r="AS74" i="12"/>
  <c r="AR74" i="12"/>
  <c r="AQ74" i="12"/>
  <c r="AP74" i="12"/>
  <c r="AN74" i="12"/>
  <c r="AM74" i="12"/>
  <c r="AL74" i="12"/>
  <c r="AK74" i="12"/>
  <c r="AJ74" i="12"/>
  <c r="AI74" i="12"/>
  <c r="AH74" i="12"/>
  <c r="AG74" i="12"/>
  <c r="AF74" i="12"/>
  <c r="AE74" i="12"/>
  <c r="AD74" i="12"/>
  <c r="AC74" i="12"/>
  <c r="AB74" i="12"/>
  <c r="AA74" i="12"/>
  <c r="Z74" i="12"/>
  <c r="X74" i="12"/>
  <c r="AS73" i="12"/>
  <c r="AR73" i="12"/>
  <c r="AQ73" i="12"/>
  <c r="AP73" i="12"/>
  <c r="AN73" i="12"/>
  <c r="AM73" i="12"/>
  <c r="AL73" i="12"/>
  <c r="AK73" i="12"/>
  <c r="AJ73" i="12"/>
  <c r="AI73" i="12"/>
  <c r="AH73" i="12"/>
  <c r="AG73" i="12"/>
  <c r="AF73" i="12"/>
  <c r="AE73" i="12"/>
  <c r="AD73" i="12"/>
  <c r="AC73" i="12"/>
  <c r="AB73" i="12"/>
  <c r="AA73" i="12"/>
  <c r="Z73" i="12"/>
  <c r="X73" i="12"/>
  <c r="AS72" i="12"/>
  <c r="AR72" i="12"/>
  <c r="AQ72" i="12"/>
  <c r="AP72" i="12"/>
  <c r="AN72" i="12"/>
  <c r="AM72" i="12"/>
  <c r="AL72" i="12"/>
  <c r="AK72" i="12"/>
  <c r="AJ72" i="12"/>
  <c r="AI72" i="12"/>
  <c r="AH72" i="12"/>
  <c r="AG72" i="12"/>
  <c r="AF72" i="12"/>
  <c r="AE72" i="12"/>
  <c r="AD72" i="12"/>
  <c r="AC72" i="12"/>
  <c r="AB72" i="12"/>
  <c r="AA72" i="12"/>
  <c r="Z72" i="12"/>
  <c r="X72" i="12"/>
  <c r="AS71" i="12"/>
  <c r="AR71" i="12"/>
  <c r="AQ71" i="12"/>
  <c r="AP71" i="12"/>
  <c r="AN71" i="12"/>
  <c r="AM71" i="12"/>
  <c r="AL71" i="12"/>
  <c r="AK71" i="12"/>
  <c r="AJ71" i="12"/>
  <c r="AI71" i="12"/>
  <c r="AH71" i="12"/>
  <c r="AG71" i="12"/>
  <c r="AF71" i="12"/>
  <c r="AE71" i="12"/>
  <c r="AD71" i="12"/>
  <c r="AC71" i="12"/>
  <c r="AB71" i="12"/>
  <c r="AA71" i="12"/>
  <c r="Z71" i="12"/>
  <c r="X71" i="12"/>
  <c r="AS70" i="12"/>
  <c r="AR70" i="12"/>
  <c r="AQ70" i="12"/>
  <c r="AP70" i="12"/>
  <c r="AN70" i="12"/>
  <c r="AM70" i="12"/>
  <c r="AL70" i="12"/>
  <c r="AK70" i="12"/>
  <c r="AJ70" i="12"/>
  <c r="AI70" i="12"/>
  <c r="AH70" i="12"/>
  <c r="AG70" i="12"/>
  <c r="AF70" i="12"/>
  <c r="AE70" i="12"/>
  <c r="AD70" i="12"/>
  <c r="AC70" i="12"/>
  <c r="AB70" i="12"/>
  <c r="AA70" i="12"/>
  <c r="Z70" i="12"/>
  <c r="X70" i="12"/>
  <c r="AS69" i="12"/>
  <c r="AR69" i="12"/>
  <c r="AQ69" i="12"/>
  <c r="AP69" i="12"/>
  <c r="AN69" i="12"/>
  <c r="AM69" i="12"/>
  <c r="AL69" i="12"/>
  <c r="AK69" i="12"/>
  <c r="AJ69" i="12"/>
  <c r="AI69" i="12"/>
  <c r="AH69" i="12"/>
  <c r="AG69" i="12"/>
  <c r="AF69" i="12"/>
  <c r="AE69" i="12"/>
  <c r="AD69" i="12"/>
  <c r="AC69" i="12"/>
  <c r="AB69" i="12"/>
  <c r="AA69" i="12"/>
  <c r="Z69" i="12"/>
  <c r="X69" i="12"/>
  <c r="AS68" i="12"/>
  <c r="AR68" i="12"/>
  <c r="AQ68" i="12"/>
  <c r="AP68" i="12"/>
  <c r="AN68" i="12"/>
  <c r="AM68" i="12"/>
  <c r="AL68" i="12"/>
  <c r="AK68" i="12"/>
  <c r="AJ68" i="12"/>
  <c r="AI68" i="12"/>
  <c r="AH68" i="12"/>
  <c r="AG68" i="12"/>
  <c r="AF68" i="12"/>
  <c r="AE68" i="12"/>
  <c r="AD68" i="12"/>
  <c r="AC68" i="12"/>
  <c r="AB68" i="12"/>
  <c r="AA68" i="12"/>
  <c r="Z68" i="12"/>
  <c r="X68" i="12"/>
  <c r="AS67" i="12"/>
  <c r="AR67" i="12"/>
  <c r="AQ67" i="12"/>
  <c r="AP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X67" i="12"/>
  <c r="AS66" i="12"/>
  <c r="AR66" i="12"/>
  <c r="AQ66" i="12"/>
  <c r="AP66" i="12"/>
  <c r="AN66" i="12"/>
  <c r="AM66" i="12"/>
  <c r="AL66" i="12"/>
  <c r="AK66" i="12"/>
  <c r="AJ66" i="12"/>
  <c r="AI66" i="12"/>
  <c r="AH66" i="12"/>
  <c r="AG66" i="12"/>
  <c r="AF66" i="12"/>
  <c r="AE66" i="12"/>
  <c r="AD66" i="12"/>
  <c r="AC66" i="12"/>
  <c r="AB66" i="12"/>
  <c r="AA66" i="12"/>
  <c r="Z66" i="12"/>
  <c r="X66" i="12"/>
  <c r="AS65" i="12"/>
  <c r="AR65" i="12"/>
  <c r="AQ65" i="12"/>
  <c r="AP65" i="12"/>
  <c r="AN65" i="12"/>
  <c r="AM65" i="12"/>
  <c r="AL65" i="12"/>
  <c r="AK65" i="12"/>
  <c r="AJ65" i="12"/>
  <c r="AI65" i="12"/>
  <c r="AH65" i="12"/>
  <c r="AG65" i="12"/>
  <c r="AF65" i="12"/>
  <c r="AE65" i="12"/>
  <c r="AD65" i="12"/>
  <c r="AC65" i="12"/>
  <c r="AB65" i="12"/>
  <c r="AA65" i="12"/>
  <c r="Z65" i="12"/>
  <c r="X65" i="12"/>
  <c r="AS64" i="12"/>
  <c r="AR64" i="12"/>
  <c r="AQ64" i="12"/>
  <c r="AP64" i="12"/>
  <c r="AN64" i="12"/>
  <c r="AM64" i="12"/>
  <c r="AL64" i="12"/>
  <c r="AK64" i="12"/>
  <c r="AJ64" i="12"/>
  <c r="AI64" i="12"/>
  <c r="AH64" i="12"/>
  <c r="AG64" i="12"/>
  <c r="AF64" i="12"/>
  <c r="AE64" i="12"/>
  <c r="AD64" i="12"/>
  <c r="AC64" i="12"/>
  <c r="AB64" i="12"/>
  <c r="AA64" i="12"/>
  <c r="Z64" i="12"/>
  <c r="X64" i="12"/>
  <c r="AS63" i="12"/>
  <c r="AR63" i="12"/>
  <c r="AQ63" i="12"/>
  <c r="AP63" i="12"/>
  <c r="AN63" i="12"/>
  <c r="AM63" i="12"/>
  <c r="AL63" i="12"/>
  <c r="AK63" i="12"/>
  <c r="AJ63" i="12"/>
  <c r="AI63" i="12"/>
  <c r="AH63" i="12"/>
  <c r="AG63" i="12"/>
  <c r="AF63" i="12"/>
  <c r="AE63" i="12"/>
  <c r="AD63" i="12"/>
  <c r="AC63" i="12"/>
  <c r="AB63" i="12"/>
  <c r="AA63" i="12"/>
  <c r="Z63" i="12"/>
  <c r="X63" i="12"/>
  <c r="AS62" i="12"/>
  <c r="AR62" i="12"/>
  <c r="AQ62" i="12"/>
  <c r="AP62" i="12"/>
  <c r="AN62" i="12"/>
  <c r="AM62" i="12"/>
  <c r="AL62" i="12"/>
  <c r="AK62" i="12"/>
  <c r="AJ62" i="12"/>
  <c r="AI62" i="12"/>
  <c r="AH62" i="12"/>
  <c r="AG62" i="12"/>
  <c r="AF62" i="12"/>
  <c r="AE62" i="12"/>
  <c r="AD62" i="12"/>
  <c r="AC62" i="12"/>
  <c r="AB62" i="12"/>
  <c r="AA62" i="12"/>
  <c r="Z62" i="12"/>
  <c r="X62" i="12"/>
  <c r="AS61" i="12"/>
  <c r="AR61" i="12"/>
  <c r="AQ61" i="12"/>
  <c r="AP61" i="12"/>
  <c r="AN61" i="12"/>
  <c r="AM61" i="12"/>
  <c r="AL61" i="12"/>
  <c r="AK61" i="12"/>
  <c r="AJ61" i="12"/>
  <c r="AI61" i="12"/>
  <c r="AH61" i="12"/>
  <c r="AG61" i="12"/>
  <c r="AF61" i="12"/>
  <c r="AE61" i="12"/>
  <c r="AD61" i="12"/>
  <c r="AC61" i="12"/>
  <c r="AB61" i="12"/>
  <c r="AA61" i="12"/>
  <c r="Z61" i="12"/>
  <c r="X61" i="12"/>
  <c r="AS60" i="12"/>
  <c r="AR60" i="12"/>
  <c r="AQ60" i="12"/>
  <c r="AP60" i="12"/>
  <c r="AN60" i="12"/>
  <c r="AM60" i="12"/>
  <c r="AL60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X60" i="12"/>
  <c r="AS59" i="12"/>
  <c r="AR59" i="12"/>
  <c r="AQ59" i="12"/>
  <c r="AP59" i="12"/>
  <c r="AN59" i="12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AA59" i="12"/>
  <c r="Z59" i="12"/>
  <c r="X59" i="12"/>
  <c r="AS58" i="12"/>
  <c r="AR58" i="12"/>
  <c r="AQ58" i="12"/>
  <c r="AP58" i="12"/>
  <c r="AN58" i="12"/>
  <c r="AM58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X58" i="12"/>
  <c r="AS54" i="12"/>
  <c r="AR54" i="12"/>
  <c r="AQ54" i="12"/>
  <c r="AP54" i="12"/>
  <c r="AN54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X54" i="12"/>
  <c r="AS53" i="12"/>
  <c r="AR53" i="12"/>
  <c r="AQ53" i="12"/>
  <c r="AP53" i="12"/>
  <c r="AN53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X53" i="12"/>
  <c r="AS52" i="12"/>
  <c r="AR52" i="12"/>
  <c r="AQ52" i="12"/>
  <c r="AP52" i="12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X52" i="12"/>
  <c r="AS51" i="12"/>
  <c r="AR51" i="12"/>
  <c r="AQ51" i="12"/>
  <c r="AP51" i="12"/>
  <c r="AN51" i="12"/>
  <c r="AM51" i="12"/>
  <c r="AL51" i="12"/>
  <c r="AK51" i="12"/>
  <c r="AJ51" i="12"/>
  <c r="AI51" i="12"/>
  <c r="AH51" i="12"/>
  <c r="AG51" i="12"/>
  <c r="AF51" i="12"/>
  <c r="AE51" i="12"/>
  <c r="AD51" i="12"/>
  <c r="AC51" i="12"/>
  <c r="AB51" i="12"/>
  <c r="AA51" i="12"/>
  <c r="Z51" i="12"/>
  <c r="X51" i="12"/>
  <c r="AS50" i="12"/>
  <c r="AR50" i="12"/>
  <c r="AQ50" i="12"/>
  <c r="AP50" i="12"/>
  <c r="AN50" i="12"/>
  <c r="AM50" i="12"/>
  <c r="AL50" i="12"/>
  <c r="AK50" i="12"/>
  <c r="AJ50" i="12"/>
  <c r="AI50" i="12"/>
  <c r="AH50" i="12"/>
  <c r="AG50" i="12"/>
  <c r="AF50" i="12"/>
  <c r="AE50" i="12"/>
  <c r="AD50" i="12"/>
  <c r="AC50" i="12"/>
  <c r="AB50" i="12"/>
  <c r="AA50" i="12"/>
  <c r="Z50" i="12"/>
  <c r="X50" i="12"/>
  <c r="AS49" i="12"/>
  <c r="AR49" i="12"/>
  <c r="AQ49" i="12"/>
  <c r="AP49" i="12"/>
  <c r="AN49" i="12"/>
  <c r="AM49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X49" i="12"/>
  <c r="AS48" i="12"/>
  <c r="AR48" i="12"/>
  <c r="AQ48" i="12"/>
  <c r="AP48" i="12"/>
  <c r="AN48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X48" i="12"/>
  <c r="AS47" i="12"/>
  <c r="AR47" i="12"/>
  <c r="AQ47" i="12"/>
  <c r="AP47" i="12"/>
  <c r="AN47" i="12"/>
  <c r="AM47" i="12"/>
  <c r="AL47" i="12"/>
  <c r="AK47" i="12"/>
  <c r="AJ47" i="12"/>
  <c r="AI47" i="12"/>
  <c r="AH47" i="12"/>
  <c r="AG47" i="12"/>
  <c r="AF47" i="12"/>
  <c r="AE47" i="12"/>
  <c r="AD47" i="12"/>
  <c r="AC47" i="12"/>
  <c r="AB47" i="12"/>
  <c r="AA47" i="12"/>
  <c r="Z47" i="12"/>
  <c r="X47" i="12"/>
  <c r="AS46" i="12"/>
  <c r="AR46" i="12"/>
  <c r="AQ46" i="12"/>
  <c r="AP46" i="12"/>
  <c r="AN46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X46" i="12"/>
  <c r="AS45" i="12"/>
  <c r="AR45" i="12"/>
  <c r="AQ45" i="12"/>
  <c r="AP45" i="12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B45" i="12"/>
  <c r="AA45" i="12"/>
  <c r="Z45" i="12"/>
  <c r="X45" i="12"/>
  <c r="AS44" i="12"/>
  <c r="AR44" i="12"/>
  <c r="AQ44" i="12"/>
  <c r="AP44" i="12"/>
  <c r="AN44" i="12"/>
  <c r="AM44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X44" i="12"/>
  <c r="AS43" i="12"/>
  <c r="AR43" i="12"/>
  <c r="AQ43" i="12"/>
  <c r="AP43" i="12"/>
  <c r="AN43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X43" i="12"/>
  <c r="AS42" i="12"/>
  <c r="AR42" i="12"/>
  <c r="AQ42" i="12"/>
  <c r="AP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X42" i="12"/>
  <c r="AS41" i="12"/>
  <c r="AR41" i="12"/>
  <c r="AQ41" i="12"/>
  <c r="AP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X41" i="12"/>
  <c r="AS40" i="12"/>
  <c r="AR40" i="12"/>
  <c r="AQ40" i="12"/>
  <c r="AP40" i="12"/>
  <c r="AN40" i="12"/>
  <c r="AM40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X40" i="12"/>
  <c r="AS39" i="12"/>
  <c r="AR39" i="12"/>
  <c r="AQ39" i="12"/>
  <c r="AP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X39" i="12"/>
  <c r="AS38" i="12"/>
  <c r="AR38" i="12"/>
  <c r="AQ38" i="12"/>
  <c r="AP38" i="12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X38" i="12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AO73" i="11"/>
  <c r="AN73" i="11"/>
  <c r="AM73" i="11"/>
  <c r="AL73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AO72" i="11"/>
  <c r="AN72" i="11"/>
  <c r="AM72" i="11"/>
  <c r="AL72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AO71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AO70" i="11"/>
  <c r="AN70" i="11"/>
  <c r="AM70" i="1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Y70" i="11"/>
  <c r="AO69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Y69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Y68" i="11"/>
  <c r="AO67" i="11"/>
  <c r="AN67" i="11"/>
  <c r="AM67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Y67" i="11"/>
  <c r="AO66" i="11"/>
  <c r="AN66" i="11"/>
  <c r="AM66" i="11"/>
  <c r="AL66" i="11"/>
  <c r="AK66" i="11"/>
  <c r="AJ66" i="11"/>
  <c r="AI66" i="11"/>
  <c r="AH66" i="11"/>
  <c r="AG66" i="11"/>
  <c r="AF66" i="11"/>
  <c r="AE66" i="11"/>
  <c r="AD66" i="11"/>
  <c r="AC66" i="11"/>
  <c r="AB66" i="11"/>
  <c r="AA66" i="11"/>
  <c r="Y66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Y65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Y64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Y63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Y62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Y61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Y60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AO51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AO50" i="1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A50" i="11"/>
  <c r="Y50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Y49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Y48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Y47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Y46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Y45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Y44" i="11"/>
  <c r="AO43" i="11"/>
  <c r="AN43" i="11"/>
  <c r="AM43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Y43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Y42" i="11"/>
  <c r="AO41" i="11"/>
  <c r="AN41" i="11"/>
  <c r="AM41" i="11"/>
  <c r="AL41" i="11"/>
  <c r="AK41" i="11"/>
  <c r="AJ41" i="11"/>
  <c r="AI41" i="11"/>
  <c r="AH41" i="11"/>
  <c r="AG41" i="11"/>
  <c r="AF41" i="11"/>
  <c r="AE41" i="11"/>
  <c r="AD41" i="11"/>
  <c r="AC41" i="11"/>
  <c r="AB41" i="11"/>
  <c r="AA41" i="11"/>
  <c r="Y41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Y40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AO73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AO71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Y64" i="7"/>
  <c r="W64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Y63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Y62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Y61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Y60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Y59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Y58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Y44" i="7"/>
  <c r="W44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Y43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Y42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Y41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Y40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Y39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Y38" i="7"/>
  <c r="AO74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AO73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AO72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AO71" i="9"/>
  <c r="AN71" i="9"/>
  <c r="AM71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AO70" i="9"/>
  <c r="AN70" i="9"/>
  <c r="AM70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AO69" i="9"/>
  <c r="AN69" i="9"/>
  <c r="AM69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Y69" i="9"/>
  <c r="AO68" i="9"/>
  <c r="AN68" i="9"/>
  <c r="AM68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Y68" i="9"/>
  <c r="AO67" i="9"/>
  <c r="AN67" i="9"/>
  <c r="AM67" i="9"/>
  <c r="AL67" i="9"/>
  <c r="AK67" i="9"/>
  <c r="AJ67" i="9"/>
  <c r="AI67" i="9"/>
  <c r="AH67" i="9"/>
  <c r="AG67" i="9"/>
  <c r="AF67" i="9"/>
  <c r="AE67" i="9"/>
  <c r="AD67" i="9"/>
  <c r="AC67" i="9"/>
  <c r="AB67" i="9"/>
  <c r="AA67" i="9"/>
  <c r="Y67" i="9"/>
  <c r="AO66" i="9"/>
  <c r="AN66" i="9"/>
  <c r="AM66" i="9"/>
  <c r="AL66" i="9"/>
  <c r="AK66" i="9"/>
  <c r="AJ66" i="9"/>
  <c r="AI66" i="9"/>
  <c r="AH66" i="9"/>
  <c r="AG66" i="9"/>
  <c r="AF66" i="9"/>
  <c r="AE66" i="9"/>
  <c r="AD66" i="9"/>
  <c r="AC66" i="9"/>
  <c r="AB66" i="9"/>
  <c r="AA66" i="9"/>
  <c r="Y66" i="9"/>
  <c r="AO65" i="9"/>
  <c r="AN65" i="9"/>
  <c r="AM65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Y65" i="9"/>
  <c r="AO64" i="9"/>
  <c r="AN64" i="9"/>
  <c r="AM64" i="9"/>
  <c r="AL64" i="9"/>
  <c r="AK64" i="9"/>
  <c r="AJ64" i="9"/>
  <c r="AI64" i="9"/>
  <c r="AH64" i="9"/>
  <c r="AG64" i="9"/>
  <c r="AF64" i="9"/>
  <c r="AE64" i="9"/>
  <c r="AD64" i="9"/>
  <c r="AC64" i="9"/>
  <c r="AB64" i="9"/>
  <c r="AA64" i="9"/>
  <c r="Y64" i="9"/>
  <c r="AO63" i="9"/>
  <c r="AN63" i="9"/>
  <c r="AM63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Y63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AO60" i="9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AO54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AO53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AO51" i="9"/>
  <c r="AN51" i="9"/>
  <c r="AM51" i="9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AO50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Y49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Y48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Y47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Y46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Y45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Y44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Y43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AO70" i="14"/>
  <c r="AN70" i="14"/>
  <c r="AM70" i="14"/>
  <c r="AL70" i="14"/>
  <c r="AK70" i="14"/>
  <c r="AJ70" i="14"/>
  <c r="AI70" i="14"/>
  <c r="AH70" i="14"/>
  <c r="AG70" i="14"/>
  <c r="AF70" i="14"/>
  <c r="AE70" i="14"/>
  <c r="AD70" i="14"/>
  <c r="AC70" i="14"/>
  <c r="AB70" i="14"/>
  <c r="AA70" i="14"/>
  <c r="Y70" i="14"/>
  <c r="AO69" i="14"/>
  <c r="AN69" i="14"/>
  <c r="AM69" i="14"/>
  <c r="AL69" i="14"/>
  <c r="AK69" i="14"/>
  <c r="AJ69" i="14"/>
  <c r="AI69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AO68" i="14"/>
  <c r="AN68" i="14"/>
  <c r="AM68" i="14"/>
  <c r="AL68" i="14"/>
  <c r="AK68" i="14"/>
  <c r="AJ68" i="14"/>
  <c r="AI68" i="14"/>
  <c r="AH68" i="14"/>
  <c r="AG68" i="14"/>
  <c r="AF68" i="14"/>
  <c r="AE68" i="14"/>
  <c r="AD68" i="14"/>
  <c r="AC68" i="14"/>
  <c r="AB68" i="14"/>
  <c r="AA68" i="14"/>
  <c r="Z68" i="14"/>
  <c r="Y68" i="14"/>
  <c r="X68" i="14"/>
  <c r="W68" i="14"/>
  <c r="AO67" i="14"/>
  <c r="AN67" i="14"/>
  <c r="AM67" i="14"/>
  <c r="AL67" i="14"/>
  <c r="AK67" i="14"/>
  <c r="AJ67" i="14"/>
  <c r="AI67" i="14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AO66" i="14"/>
  <c r="AN66" i="14"/>
  <c r="AM66" i="14"/>
  <c r="AL66" i="14"/>
  <c r="AK66" i="14"/>
  <c r="AJ66" i="14"/>
  <c r="AI66" i="14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AO65" i="14"/>
  <c r="AN65" i="14"/>
  <c r="AM65" i="14"/>
  <c r="AL65" i="14"/>
  <c r="AK65" i="14"/>
  <c r="AJ65" i="14"/>
  <c r="AI65" i="14"/>
  <c r="AH65" i="14"/>
  <c r="AG65" i="14"/>
  <c r="AF65" i="14"/>
  <c r="AE65" i="14"/>
  <c r="AD65" i="14"/>
  <c r="AC65" i="14"/>
  <c r="AB65" i="14"/>
  <c r="AA65" i="14"/>
  <c r="Y65" i="14"/>
  <c r="AO64" i="14"/>
  <c r="AN64" i="14"/>
  <c r="AM64" i="14"/>
  <c r="AL64" i="14"/>
  <c r="AK64" i="14"/>
  <c r="AJ64" i="14"/>
  <c r="AI64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AO63" i="14"/>
  <c r="AN63" i="14"/>
  <c r="AM63" i="14"/>
  <c r="AL63" i="14"/>
  <c r="AK63" i="14"/>
  <c r="AJ63" i="14"/>
  <c r="AI63" i="14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AO62" i="14"/>
  <c r="AN62" i="14"/>
  <c r="AM62" i="14"/>
  <c r="AL62" i="14"/>
  <c r="AK62" i="14"/>
  <c r="AJ62" i="14"/>
  <c r="AI62" i="14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AO61" i="14"/>
  <c r="AN61" i="14"/>
  <c r="AM61" i="14"/>
  <c r="AL61" i="14"/>
  <c r="AK61" i="14"/>
  <c r="AJ61" i="14"/>
  <c r="AI61" i="14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AO60" i="14"/>
  <c r="AN60" i="14"/>
  <c r="AM60" i="14"/>
  <c r="AL60" i="14"/>
  <c r="AK60" i="14"/>
  <c r="AJ60" i="14"/>
  <c r="AI60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AO59" i="14"/>
  <c r="AN59" i="14"/>
  <c r="AM59" i="14"/>
  <c r="AL59" i="14"/>
  <c r="AK59" i="14"/>
  <c r="AJ59" i="14"/>
  <c r="AI59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Y50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AO46" i="14"/>
  <c r="AN46" i="14"/>
  <c r="AM46" i="14"/>
  <c r="AL46" i="14"/>
  <c r="AK46" i="14"/>
  <c r="AJ46" i="14"/>
  <c r="AI46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Y45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AQ74" i="10"/>
  <c r="AP74" i="10"/>
  <c r="AO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AQ73" i="10"/>
  <c r="AP73" i="10"/>
  <c r="AO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AQ72" i="10"/>
  <c r="AP72" i="10"/>
  <c r="AO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AQ71" i="10"/>
  <c r="AP71" i="10"/>
  <c r="AO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AQ70" i="10"/>
  <c r="AP70" i="10"/>
  <c r="AO70" i="10"/>
  <c r="AK70" i="10"/>
  <c r="AJ70" i="10"/>
  <c r="AI70" i="10"/>
  <c r="AH70" i="10"/>
  <c r="AG70" i="10"/>
  <c r="AF70" i="10"/>
  <c r="AE70" i="10"/>
  <c r="AD70" i="10"/>
  <c r="AC70" i="10"/>
  <c r="AB70" i="10"/>
  <c r="AA70" i="10"/>
  <c r="Y70" i="10"/>
  <c r="AQ69" i="10"/>
  <c r="AP69" i="10"/>
  <c r="AO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AQ68" i="10"/>
  <c r="AP68" i="10"/>
  <c r="AO68" i="10"/>
  <c r="AK68" i="10"/>
  <c r="AJ68" i="10"/>
  <c r="AI68" i="10"/>
  <c r="AH68" i="10"/>
  <c r="AG68" i="10"/>
  <c r="AF68" i="10"/>
  <c r="AE68" i="10"/>
  <c r="AD68" i="10"/>
  <c r="AC68" i="10"/>
  <c r="AB68" i="10"/>
  <c r="AA68" i="10"/>
  <c r="Y68" i="10"/>
  <c r="AQ67" i="10"/>
  <c r="AP67" i="10"/>
  <c r="AO67" i="10"/>
  <c r="AK67" i="10"/>
  <c r="AJ67" i="10"/>
  <c r="AI67" i="10"/>
  <c r="AH67" i="10"/>
  <c r="AG67" i="10"/>
  <c r="AF67" i="10"/>
  <c r="AE67" i="10"/>
  <c r="AD67" i="10"/>
  <c r="AC67" i="10"/>
  <c r="AB67" i="10"/>
  <c r="AA67" i="10"/>
  <c r="Y67" i="10"/>
  <c r="AQ66" i="10"/>
  <c r="AP66" i="10"/>
  <c r="AO66" i="10"/>
  <c r="AK66" i="10"/>
  <c r="AJ66" i="10"/>
  <c r="AI66" i="10"/>
  <c r="AH66" i="10"/>
  <c r="AG66" i="10"/>
  <c r="AF66" i="10"/>
  <c r="AE66" i="10"/>
  <c r="AD66" i="10"/>
  <c r="AC66" i="10"/>
  <c r="AB66" i="10"/>
  <c r="AA66" i="10"/>
  <c r="Y66" i="10"/>
  <c r="AQ65" i="10"/>
  <c r="AP65" i="10"/>
  <c r="AO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AQ64" i="10"/>
  <c r="AP64" i="10"/>
  <c r="AO64" i="10"/>
  <c r="AK64" i="10"/>
  <c r="AJ64" i="10"/>
  <c r="AI64" i="10"/>
  <c r="AH64" i="10"/>
  <c r="AG64" i="10"/>
  <c r="AF64" i="10"/>
  <c r="AE64" i="10"/>
  <c r="AD64" i="10"/>
  <c r="AC64" i="10"/>
  <c r="AB64" i="10"/>
  <c r="AA64" i="10"/>
  <c r="Y64" i="10"/>
  <c r="AQ63" i="10"/>
  <c r="AP63" i="10"/>
  <c r="AO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AQ62" i="10"/>
  <c r="AP62" i="10"/>
  <c r="AO62" i="10"/>
  <c r="AK62" i="10"/>
  <c r="AJ62" i="10"/>
  <c r="AI62" i="10"/>
  <c r="AH62" i="10"/>
  <c r="AG62" i="10"/>
  <c r="AF62" i="10"/>
  <c r="AE62" i="10"/>
  <c r="AD62" i="10"/>
  <c r="AC62" i="10"/>
  <c r="AB62" i="10"/>
  <c r="AA62" i="10"/>
  <c r="Y62" i="10"/>
  <c r="AQ61" i="10"/>
  <c r="AP61" i="10"/>
  <c r="AO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AQ60" i="10"/>
  <c r="AP60" i="10"/>
  <c r="AO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AQ59" i="10"/>
  <c r="AP59" i="10"/>
  <c r="AO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AQ58" i="10"/>
  <c r="AP58" i="10"/>
  <c r="AO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AQ54" i="10"/>
  <c r="AP54" i="10"/>
  <c r="AO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AQ53" i="10"/>
  <c r="AP53" i="10"/>
  <c r="AO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AQ52" i="10"/>
  <c r="AP52" i="10"/>
  <c r="AO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AQ51" i="10"/>
  <c r="AP51" i="10"/>
  <c r="AO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AQ50" i="10"/>
  <c r="AP50" i="10"/>
  <c r="AO50" i="10"/>
  <c r="AK50" i="10"/>
  <c r="AJ50" i="10"/>
  <c r="AI50" i="10"/>
  <c r="AH50" i="10"/>
  <c r="AG50" i="10"/>
  <c r="AF50" i="10"/>
  <c r="AE50" i="10"/>
  <c r="AD50" i="10"/>
  <c r="AC50" i="10"/>
  <c r="AB50" i="10"/>
  <c r="AA50" i="10"/>
  <c r="Y50" i="10"/>
  <c r="AQ49" i="10"/>
  <c r="AP49" i="10"/>
  <c r="AO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AQ48" i="10"/>
  <c r="AP48" i="10"/>
  <c r="AO48" i="10"/>
  <c r="AK48" i="10"/>
  <c r="AJ48" i="10"/>
  <c r="AI48" i="10"/>
  <c r="AH48" i="10"/>
  <c r="AG48" i="10"/>
  <c r="AF48" i="10"/>
  <c r="AE48" i="10"/>
  <c r="AD48" i="10"/>
  <c r="AC48" i="10"/>
  <c r="AB48" i="10"/>
  <c r="AA48" i="10"/>
  <c r="Y48" i="10"/>
  <c r="AQ47" i="10"/>
  <c r="AP47" i="10"/>
  <c r="AO47" i="10"/>
  <c r="AK47" i="10"/>
  <c r="AJ47" i="10"/>
  <c r="AI47" i="10"/>
  <c r="AH47" i="10"/>
  <c r="AG47" i="10"/>
  <c r="AF47" i="10"/>
  <c r="AE47" i="10"/>
  <c r="AD47" i="10"/>
  <c r="AC47" i="10"/>
  <c r="AB47" i="10"/>
  <c r="AA47" i="10"/>
  <c r="Y47" i="10"/>
  <c r="AQ46" i="10"/>
  <c r="AP46" i="10"/>
  <c r="AO46" i="10"/>
  <c r="AK46" i="10"/>
  <c r="AJ46" i="10"/>
  <c r="AI46" i="10"/>
  <c r="AH46" i="10"/>
  <c r="AG46" i="10"/>
  <c r="AF46" i="10"/>
  <c r="AE46" i="10"/>
  <c r="AD46" i="10"/>
  <c r="AC46" i="10"/>
  <c r="AB46" i="10"/>
  <c r="AA46" i="10"/>
  <c r="Y46" i="10"/>
  <c r="AQ45" i="10"/>
  <c r="AP45" i="10"/>
  <c r="AO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AQ44" i="10"/>
  <c r="AP44" i="10"/>
  <c r="AO44" i="10"/>
  <c r="AK44" i="10"/>
  <c r="AJ44" i="10"/>
  <c r="AI44" i="10"/>
  <c r="AH44" i="10"/>
  <c r="AG44" i="10"/>
  <c r="AF44" i="10"/>
  <c r="AE44" i="10"/>
  <c r="AD44" i="10"/>
  <c r="AC44" i="10"/>
  <c r="AB44" i="10"/>
  <c r="AA44" i="10"/>
  <c r="Y44" i="10"/>
  <c r="AQ43" i="10"/>
  <c r="AP43" i="10"/>
  <c r="AO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AQ42" i="10"/>
  <c r="AP42" i="10"/>
  <c r="AO42" i="10"/>
  <c r="AK42" i="10"/>
  <c r="AJ42" i="10"/>
  <c r="AI42" i="10"/>
  <c r="AH42" i="10"/>
  <c r="AG42" i="10"/>
  <c r="AF42" i="10"/>
  <c r="AE42" i="10"/>
  <c r="AD42" i="10"/>
  <c r="AC42" i="10"/>
  <c r="AB42" i="10"/>
  <c r="AA42" i="10"/>
  <c r="Y42" i="10"/>
  <c r="AQ41" i="10"/>
  <c r="AP41" i="10"/>
  <c r="AO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AQ40" i="10"/>
  <c r="AP40" i="10"/>
  <c r="AO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AQ39" i="10"/>
  <c r="AP39" i="10"/>
  <c r="AO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AQ38" i="10"/>
  <c r="AP38" i="10"/>
  <c r="AO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Z9" i="3"/>
  <c r="Z44" i="3" s="1"/>
  <c r="X9" i="3"/>
  <c r="X64" i="3" s="1"/>
  <c r="W9" i="3"/>
  <c r="W44" i="3" s="1"/>
  <c r="O9" i="3"/>
  <c r="T9" i="3" s="1"/>
  <c r="P39" i="7"/>
  <c r="Q39" i="7" s="1"/>
  <c r="P40" i="7"/>
  <c r="Q40" i="7" s="1"/>
  <c r="P41" i="7"/>
  <c r="Q41" i="7" s="1"/>
  <c r="P42" i="7"/>
  <c r="Q42" i="7" s="1"/>
  <c r="P43" i="7"/>
  <c r="Q43" i="7" s="1"/>
  <c r="P44" i="7"/>
  <c r="Q44" i="7" s="1"/>
  <c r="P38" i="7"/>
  <c r="Q38" i="7" s="1"/>
  <c r="S37" i="1" l="1" a="1"/>
  <c r="S37" i="1" s="1"/>
  <c r="U59" i="1" a="1"/>
  <c r="U59" i="1" s="1"/>
  <c r="R59" i="1" s="1"/>
  <c r="S59" i="1" s="1"/>
  <c r="V59" i="1" s="1"/>
  <c r="Z64" i="3"/>
  <c r="Z44" i="7"/>
  <c r="X64" i="7"/>
  <c r="X44" i="3"/>
  <c r="W64" i="3"/>
  <c r="P9" i="7"/>
  <c r="U9" i="7" s="1"/>
  <c r="P9" i="3"/>
  <c r="U9" i="3" s="1"/>
  <c r="P39" i="5"/>
  <c r="Q39" i="5" s="1"/>
  <c r="R39" i="5" s="1"/>
  <c r="P40" i="5"/>
  <c r="Q40" i="5" s="1"/>
  <c r="R40" i="5" s="1"/>
  <c r="P38" i="5"/>
  <c r="Q38" i="5" s="1"/>
  <c r="R38" i="5" s="1"/>
  <c r="O42" i="5"/>
  <c r="O41" i="5"/>
  <c r="P42" i="3"/>
  <c r="Q42" i="3" s="1"/>
  <c r="R42" i="3" s="1"/>
  <c r="P41" i="3"/>
  <c r="Q41" i="3" s="1"/>
  <c r="R41" i="3" s="1"/>
  <c r="P40" i="3"/>
  <c r="Q40" i="3" s="1"/>
  <c r="R40" i="3" s="1"/>
  <c r="P39" i="3"/>
  <c r="Q39" i="3" s="1"/>
  <c r="R39" i="3" s="1"/>
  <c r="P38" i="3"/>
  <c r="Q38" i="3" s="1"/>
  <c r="R38" i="3" s="1"/>
  <c r="P38" i="13"/>
  <c r="Q38" i="13" s="1"/>
  <c r="R38" i="13" s="1"/>
  <c r="P41" i="13"/>
  <c r="Q41" i="13" s="1"/>
  <c r="R41" i="13" s="1"/>
  <c r="P40" i="13"/>
  <c r="Q40" i="13" s="1"/>
  <c r="R40" i="13" s="1"/>
  <c r="P39" i="13"/>
  <c r="Q39" i="13" s="1"/>
  <c r="R39" i="13" s="1"/>
  <c r="O55" i="12"/>
  <c r="P55" i="12" s="1"/>
  <c r="Q55" i="12" s="1"/>
  <c r="O54" i="12"/>
  <c r="P54" i="12" s="1"/>
  <c r="Q54" i="12" s="1"/>
  <c r="O53" i="12"/>
  <c r="P53" i="12" s="1"/>
  <c r="Q53" i="12" s="1"/>
  <c r="O52" i="12"/>
  <c r="P52" i="12" s="1"/>
  <c r="Q52" i="12" s="1"/>
  <c r="O51" i="12"/>
  <c r="P51" i="12" s="1"/>
  <c r="Q51" i="12" s="1"/>
  <c r="O50" i="12"/>
  <c r="P50" i="12" s="1"/>
  <c r="Q50" i="12" s="1"/>
  <c r="O49" i="12"/>
  <c r="P49" i="12" s="1"/>
  <c r="Q49" i="12" s="1"/>
  <c r="O48" i="12"/>
  <c r="P48" i="12" s="1"/>
  <c r="Q48" i="12" s="1"/>
  <c r="O47" i="12"/>
  <c r="P47" i="12" s="1"/>
  <c r="Q47" i="12" s="1"/>
  <c r="O46" i="12"/>
  <c r="P46" i="12" s="1"/>
  <c r="Q46" i="12" s="1"/>
  <c r="O45" i="12"/>
  <c r="P45" i="12" s="1"/>
  <c r="Q45" i="12" s="1"/>
  <c r="O44" i="12"/>
  <c r="P44" i="12" s="1"/>
  <c r="Q44" i="12" s="1"/>
  <c r="O43" i="12"/>
  <c r="P43" i="12" s="1"/>
  <c r="Q43" i="12" s="1"/>
  <c r="O42" i="12"/>
  <c r="P42" i="12" s="1"/>
  <c r="Q42" i="12" s="1"/>
  <c r="O41" i="12"/>
  <c r="P41" i="12" s="1"/>
  <c r="Q41" i="12" s="1"/>
  <c r="O40" i="12"/>
  <c r="P40" i="12" s="1"/>
  <c r="Q40" i="12" s="1"/>
  <c r="O39" i="12"/>
  <c r="P39" i="12" s="1"/>
  <c r="Q39" i="12" s="1"/>
  <c r="O38" i="12"/>
  <c r="P38" i="12" s="1"/>
  <c r="Q38" i="12" s="1"/>
  <c r="P50" i="11"/>
  <c r="Q50" i="11" s="1"/>
  <c r="R50" i="11" s="1"/>
  <c r="P49" i="11"/>
  <c r="Q49" i="11" s="1"/>
  <c r="R49" i="11" s="1"/>
  <c r="P48" i="11"/>
  <c r="Q48" i="11" s="1"/>
  <c r="R48" i="11" s="1"/>
  <c r="P47" i="11"/>
  <c r="Q47" i="11" s="1"/>
  <c r="R47" i="11" s="1"/>
  <c r="P46" i="11"/>
  <c r="Q46" i="11" s="1"/>
  <c r="R46" i="11" s="1"/>
  <c r="P45" i="11"/>
  <c r="Q45" i="11" s="1"/>
  <c r="R45" i="11" s="1"/>
  <c r="P44" i="11"/>
  <c r="Q44" i="11" s="1"/>
  <c r="R44" i="11" s="1"/>
  <c r="P43" i="11"/>
  <c r="Q43" i="11" s="1"/>
  <c r="R43" i="11" s="1"/>
  <c r="P42" i="11"/>
  <c r="Q42" i="11" s="1"/>
  <c r="R42" i="11" s="1"/>
  <c r="P41" i="11"/>
  <c r="Q41" i="11" s="1"/>
  <c r="R41" i="11" s="1"/>
  <c r="P40" i="11"/>
  <c r="Q40" i="11" s="1"/>
  <c r="R40" i="11" s="1"/>
  <c r="P39" i="11"/>
  <c r="Q39" i="11" s="1"/>
  <c r="R39" i="11" s="1"/>
  <c r="P38" i="11"/>
  <c r="Q38" i="11" s="1"/>
  <c r="R38" i="11" s="1"/>
  <c r="Q40" i="9"/>
  <c r="R40" i="9" s="1"/>
  <c r="P49" i="9"/>
  <c r="Q49" i="9" s="1"/>
  <c r="R49" i="9" s="1"/>
  <c r="P48" i="9"/>
  <c r="Q48" i="9" s="1"/>
  <c r="R48" i="9" s="1"/>
  <c r="P47" i="9"/>
  <c r="Q47" i="9" s="1"/>
  <c r="R47" i="9" s="1"/>
  <c r="P46" i="9"/>
  <c r="Q46" i="9" s="1"/>
  <c r="R46" i="9" s="1"/>
  <c r="P45" i="9"/>
  <c r="Q45" i="9" s="1"/>
  <c r="R45" i="9" s="1"/>
  <c r="P44" i="9"/>
  <c r="Q44" i="9" s="1"/>
  <c r="R44" i="9" s="1"/>
  <c r="P43" i="9"/>
  <c r="Q43" i="9" s="1"/>
  <c r="R43" i="9" s="1"/>
  <c r="P42" i="9"/>
  <c r="Q42" i="9" s="1"/>
  <c r="R42" i="9" s="1"/>
  <c r="P41" i="9"/>
  <c r="Q41" i="9" s="1"/>
  <c r="R41" i="9" s="1"/>
  <c r="P40" i="9"/>
  <c r="P39" i="9"/>
  <c r="Q39" i="9" s="1"/>
  <c r="R39" i="9" s="1"/>
  <c r="P38" i="9"/>
  <c r="Q38" i="9" s="1"/>
  <c r="R38" i="9" s="1"/>
  <c r="P53" i="14"/>
  <c r="Q53" i="14" s="1"/>
  <c r="R53" i="14" s="1"/>
  <c r="P52" i="14"/>
  <c r="Q52" i="14" s="1"/>
  <c r="R52" i="14" s="1"/>
  <c r="P51" i="14"/>
  <c r="Q51" i="14" s="1"/>
  <c r="R51" i="14" s="1"/>
  <c r="P50" i="14"/>
  <c r="Q50" i="14" s="1"/>
  <c r="R50" i="14" s="1"/>
  <c r="P49" i="14"/>
  <c r="Q49" i="14" s="1"/>
  <c r="R49" i="14" s="1"/>
  <c r="P48" i="14"/>
  <c r="Q48" i="14" s="1"/>
  <c r="R48" i="14" s="1"/>
  <c r="P47" i="14"/>
  <c r="Q47" i="14" s="1"/>
  <c r="R47" i="14" s="1"/>
  <c r="P46" i="14"/>
  <c r="Q46" i="14" s="1"/>
  <c r="R46" i="14" s="1"/>
  <c r="P45" i="14"/>
  <c r="Q45" i="14" s="1"/>
  <c r="R45" i="14" s="1"/>
  <c r="P44" i="14"/>
  <c r="Q44" i="14" s="1"/>
  <c r="R44" i="14" s="1"/>
  <c r="P43" i="14"/>
  <c r="Q43" i="14" s="1"/>
  <c r="R43" i="14" s="1"/>
  <c r="P42" i="14"/>
  <c r="Q42" i="14" s="1"/>
  <c r="R42" i="14" s="1"/>
  <c r="P41" i="14"/>
  <c r="Q41" i="14" s="1"/>
  <c r="R41" i="14" s="1"/>
  <c r="P40" i="14"/>
  <c r="Q40" i="14" s="1"/>
  <c r="R40" i="14" s="1"/>
  <c r="P39" i="14"/>
  <c r="Q39" i="14" s="1"/>
  <c r="R39" i="14" s="1"/>
  <c r="P38" i="14"/>
  <c r="Q38" i="14" s="1"/>
  <c r="R38" i="14" s="1"/>
  <c r="P53" i="10"/>
  <c r="Q53" i="10" s="1"/>
  <c r="R53" i="10" s="1"/>
  <c r="P52" i="10"/>
  <c r="Q52" i="10" s="1"/>
  <c r="R52" i="10" s="1"/>
  <c r="P51" i="10"/>
  <c r="Q51" i="10" s="1"/>
  <c r="R51" i="10" s="1"/>
  <c r="P50" i="10"/>
  <c r="Q50" i="10" s="1"/>
  <c r="R50" i="10" s="1"/>
  <c r="P49" i="10"/>
  <c r="Q49" i="10" s="1"/>
  <c r="R49" i="10" s="1"/>
  <c r="P48" i="10"/>
  <c r="Q48" i="10" s="1"/>
  <c r="R48" i="10" s="1"/>
  <c r="P47" i="10"/>
  <c r="Q47" i="10" s="1"/>
  <c r="R47" i="10" s="1"/>
  <c r="P46" i="10"/>
  <c r="Q46" i="10" s="1"/>
  <c r="R46" i="10" s="1"/>
  <c r="P45" i="10"/>
  <c r="Q45" i="10" s="1"/>
  <c r="R45" i="10" s="1"/>
  <c r="P44" i="10"/>
  <c r="Q44" i="10" s="1"/>
  <c r="R44" i="10" s="1"/>
  <c r="P43" i="10"/>
  <c r="Q43" i="10" s="1"/>
  <c r="R43" i="10" s="1"/>
  <c r="P42" i="10"/>
  <c r="Q42" i="10" s="1"/>
  <c r="R42" i="10" s="1"/>
  <c r="P41" i="10"/>
  <c r="Q41" i="10" s="1"/>
  <c r="R41" i="10" s="1"/>
  <c r="P40" i="10"/>
  <c r="Q40" i="10" s="1"/>
  <c r="R40" i="10" s="1"/>
  <c r="P39" i="10"/>
  <c r="Q39" i="10" s="1"/>
  <c r="R39" i="10" s="1"/>
  <c r="P38" i="10"/>
  <c r="Q38" i="10" s="1"/>
  <c r="R38" i="10" s="1"/>
  <c r="Y62" i="1"/>
  <c r="Z62" i="1" s="1"/>
  <c r="AA62" i="1" s="1"/>
  <c r="Y61" i="1"/>
  <c r="Z61" i="1" s="1"/>
  <c r="AA61" i="1" s="1"/>
  <c r="Y60" i="1"/>
  <c r="Z60" i="1" s="1"/>
  <c r="AA60" i="1" s="1"/>
  <c r="Y59" i="1"/>
  <c r="Z59" i="1" s="1"/>
  <c r="AA59" i="1" s="1"/>
  <c r="Y58" i="1"/>
  <c r="Z58" i="1" s="1"/>
  <c r="AA58" i="1" s="1"/>
  <c r="Y57" i="1"/>
  <c r="Z57" i="1" s="1"/>
  <c r="AA57" i="1" s="1"/>
  <c r="Y56" i="1"/>
  <c r="Z56" i="1" s="1"/>
  <c r="AA56" i="1" s="1"/>
  <c r="Y55" i="1"/>
  <c r="Z55" i="1" s="1"/>
  <c r="AA55" i="1" s="1"/>
  <c r="Y54" i="1"/>
  <c r="Z54" i="1" s="1"/>
  <c r="AA54" i="1" s="1"/>
  <c r="Y53" i="1"/>
  <c r="Z53" i="1" s="1"/>
  <c r="AA53" i="1" s="1"/>
  <c r="Y52" i="1"/>
  <c r="Z52" i="1" s="1"/>
  <c r="AA52" i="1" s="1"/>
  <c r="Y51" i="1"/>
  <c r="Z51" i="1" s="1"/>
  <c r="AA51" i="1" s="1"/>
  <c r="Y50" i="1"/>
  <c r="Z50" i="1" s="1"/>
  <c r="AA50" i="1" s="1"/>
  <c r="Y49" i="1"/>
  <c r="Z49" i="1" s="1"/>
  <c r="AA49" i="1" s="1"/>
  <c r="Y48" i="1"/>
  <c r="Z48" i="1" s="1"/>
  <c r="AA48" i="1" s="1"/>
  <c r="Y47" i="1"/>
  <c r="Z47" i="1" s="1"/>
  <c r="AA47" i="1" s="1"/>
  <c r="R15" i="14" l="1"/>
  <c r="O15" i="14"/>
  <c r="T15" i="14" s="1"/>
  <c r="Z15" i="14"/>
  <c r="X15" i="14"/>
  <c r="W15" i="14"/>
  <c r="Y12" i="12"/>
  <c r="W12" i="12"/>
  <c r="V12" i="12"/>
  <c r="N12" i="12"/>
  <c r="S12" i="12" s="1"/>
  <c r="Z10" i="14"/>
  <c r="X10" i="14"/>
  <c r="W10" i="14"/>
  <c r="O12" i="14"/>
  <c r="T12" i="14" s="1"/>
  <c r="O13" i="14"/>
  <c r="P13" i="14" s="1"/>
  <c r="O14" i="14"/>
  <c r="P14" i="14" s="1"/>
  <c r="O16" i="14"/>
  <c r="P16" i="14" s="1"/>
  <c r="O17" i="14"/>
  <c r="P17" i="14" s="1"/>
  <c r="O18" i="14"/>
  <c r="T18" i="14" s="1"/>
  <c r="O4" i="14"/>
  <c r="P4" i="14" s="1"/>
  <c r="O5" i="14"/>
  <c r="P5" i="14" s="1"/>
  <c r="O6" i="14"/>
  <c r="P6" i="14" s="1"/>
  <c r="O7" i="14"/>
  <c r="P7" i="14" s="1"/>
  <c r="O8" i="14"/>
  <c r="P8" i="14" s="1"/>
  <c r="O9" i="14"/>
  <c r="P9" i="14" s="1"/>
  <c r="O10" i="14"/>
  <c r="P10" i="14" s="1"/>
  <c r="O11" i="14"/>
  <c r="P11" i="14" s="1"/>
  <c r="R18" i="14"/>
  <c r="R17" i="14"/>
  <c r="R16" i="14"/>
  <c r="R14" i="14"/>
  <c r="R13" i="14"/>
  <c r="R12" i="14"/>
  <c r="R11" i="14"/>
  <c r="R10" i="14"/>
  <c r="R9" i="14"/>
  <c r="R8" i="14"/>
  <c r="R7" i="14"/>
  <c r="R6" i="14"/>
  <c r="R5" i="14"/>
  <c r="R4" i="14"/>
  <c r="R3" i="14"/>
  <c r="O3" i="14"/>
  <c r="P3" i="14" s="1"/>
  <c r="Y9" i="12"/>
  <c r="Y10" i="12"/>
  <c r="Y11" i="12"/>
  <c r="Y13" i="12"/>
  <c r="Y14" i="12"/>
  <c r="Y15" i="12"/>
  <c r="Y16" i="12"/>
  <c r="Y17" i="12"/>
  <c r="Y18" i="12"/>
  <c r="Y19" i="12"/>
  <c r="Y20" i="12"/>
  <c r="Y8" i="12"/>
  <c r="Y7" i="12"/>
  <c r="Y6" i="12"/>
  <c r="Y5" i="12"/>
  <c r="Y4" i="12"/>
  <c r="Y3" i="12"/>
  <c r="W3" i="12"/>
  <c r="V3" i="12"/>
  <c r="V38" i="12" s="1"/>
  <c r="V4" i="12"/>
  <c r="V5" i="12"/>
  <c r="W5" i="12"/>
  <c r="W4" i="12"/>
  <c r="W9" i="12"/>
  <c r="W10" i="12"/>
  <c r="W11" i="12"/>
  <c r="W13" i="12"/>
  <c r="W14" i="12"/>
  <c r="W15" i="12"/>
  <c r="W16" i="12"/>
  <c r="W17" i="12"/>
  <c r="W18" i="12"/>
  <c r="W19" i="12"/>
  <c r="W20" i="12"/>
  <c r="V9" i="12"/>
  <c r="V10" i="12"/>
  <c r="V11" i="12"/>
  <c r="V13" i="12"/>
  <c r="V14" i="12"/>
  <c r="V15" i="12"/>
  <c r="V16" i="12"/>
  <c r="V17" i="12"/>
  <c r="V18" i="12"/>
  <c r="V19" i="12"/>
  <c r="V20" i="12"/>
  <c r="W8" i="12"/>
  <c r="V8" i="12"/>
  <c r="W7" i="12"/>
  <c r="V7" i="12"/>
  <c r="W6" i="12"/>
  <c r="V6" i="12"/>
  <c r="Z3" i="7"/>
  <c r="X3" i="7"/>
  <c r="W3" i="7"/>
  <c r="Z8" i="7"/>
  <c r="X8" i="7"/>
  <c r="W8" i="7"/>
  <c r="Z7" i="7"/>
  <c r="X7" i="7"/>
  <c r="W7" i="7"/>
  <c r="Z6" i="7"/>
  <c r="X6" i="7"/>
  <c r="W6" i="7"/>
  <c r="Z5" i="7"/>
  <c r="X5" i="7"/>
  <c r="W5" i="7"/>
  <c r="Z4" i="7"/>
  <c r="X4" i="7"/>
  <c r="W4" i="7"/>
  <c r="Z5" i="5"/>
  <c r="X5" i="5"/>
  <c r="W5" i="5"/>
  <c r="Z4" i="5"/>
  <c r="X4" i="5"/>
  <c r="W4" i="5"/>
  <c r="Z3" i="5"/>
  <c r="X3" i="5"/>
  <c r="W3" i="5"/>
  <c r="X3" i="3"/>
  <c r="W3" i="3"/>
  <c r="Z3" i="3"/>
  <c r="Z7" i="3"/>
  <c r="X7" i="3"/>
  <c r="W7" i="3"/>
  <c r="Z6" i="3"/>
  <c r="X6" i="3"/>
  <c r="W6" i="3"/>
  <c r="Z5" i="3"/>
  <c r="X5" i="3"/>
  <c r="W5" i="3"/>
  <c r="Z4" i="3"/>
  <c r="X4" i="3"/>
  <c r="W4" i="3"/>
  <c r="W3" i="13"/>
  <c r="Z3" i="13"/>
  <c r="X3" i="13"/>
  <c r="Z6" i="13"/>
  <c r="X6" i="13"/>
  <c r="W6" i="13"/>
  <c r="Z5" i="13"/>
  <c r="X5" i="13"/>
  <c r="W5" i="13"/>
  <c r="Z4" i="13"/>
  <c r="X4" i="13"/>
  <c r="W4" i="13"/>
  <c r="W15" i="11"/>
  <c r="W14" i="11"/>
  <c r="X14" i="11"/>
  <c r="Z14" i="11"/>
  <c r="W10" i="11"/>
  <c r="X10" i="11"/>
  <c r="Z10" i="11"/>
  <c r="Z15" i="11"/>
  <c r="X15" i="11"/>
  <c r="Z13" i="11"/>
  <c r="X13" i="11"/>
  <c r="W13" i="11"/>
  <c r="Z12" i="11"/>
  <c r="X12" i="11"/>
  <c r="W12" i="11"/>
  <c r="Z11" i="11"/>
  <c r="X11" i="11"/>
  <c r="W11" i="11"/>
  <c r="Z9" i="11"/>
  <c r="X9" i="11"/>
  <c r="W9" i="11"/>
  <c r="Z8" i="11"/>
  <c r="X8" i="11"/>
  <c r="W8" i="11"/>
  <c r="Z7" i="11"/>
  <c r="X7" i="11"/>
  <c r="W7" i="11"/>
  <c r="Z6" i="11"/>
  <c r="X6" i="11"/>
  <c r="W6" i="11"/>
  <c r="Z5" i="11"/>
  <c r="X5" i="11"/>
  <c r="W5" i="11"/>
  <c r="Z14" i="9"/>
  <c r="X10" i="9"/>
  <c r="X14" i="9"/>
  <c r="W14" i="9"/>
  <c r="W10" i="9"/>
  <c r="Z10" i="9"/>
  <c r="Z13" i="9"/>
  <c r="X13" i="9"/>
  <c r="W13" i="9"/>
  <c r="Z12" i="9"/>
  <c r="X12" i="9"/>
  <c r="W12" i="9"/>
  <c r="Z11" i="9"/>
  <c r="X11" i="9"/>
  <c r="W11" i="9"/>
  <c r="Z9" i="9"/>
  <c r="X9" i="9"/>
  <c r="W9" i="9"/>
  <c r="Z8" i="9"/>
  <c r="X8" i="9"/>
  <c r="W8" i="9"/>
  <c r="Z15" i="10"/>
  <c r="X15" i="10"/>
  <c r="W15" i="10"/>
  <c r="Z13" i="10"/>
  <c r="X13" i="10"/>
  <c r="W13" i="10"/>
  <c r="Z12" i="10"/>
  <c r="X12" i="10"/>
  <c r="W12" i="10"/>
  <c r="Z11" i="10"/>
  <c r="X11" i="10"/>
  <c r="W11" i="10"/>
  <c r="Z9" i="10"/>
  <c r="X9" i="10"/>
  <c r="W9" i="10"/>
  <c r="Z7" i="10"/>
  <c r="X7" i="10"/>
  <c r="W7" i="10"/>
  <c r="Y20" i="1"/>
  <c r="Y19" i="1"/>
  <c r="Y17" i="1"/>
  <c r="Y15" i="1"/>
  <c r="Y14" i="1"/>
  <c r="Y13" i="1"/>
  <c r="Y6" i="1"/>
  <c r="Y7" i="1"/>
  <c r="Y8" i="1"/>
  <c r="Y10" i="1"/>
  <c r="Y11" i="1"/>
  <c r="Y5" i="1"/>
  <c r="AA6" i="1"/>
  <c r="U47" i="1" s="1" a="1"/>
  <c r="U47" i="1" s="1"/>
  <c r="R47" i="1" s="1"/>
  <c r="S47" i="1" s="1"/>
  <c r="V47" i="1" s="1"/>
  <c r="AA7" i="1"/>
  <c r="AA8" i="1"/>
  <c r="AA10" i="1"/>
  <c r="AA11" i="1"/>
  <c r="AA13" i="1"/>
  <c r="AA14" i="1"/>
  <c r="AA15" i="1"/>
  <c r="AA17" i="1"/>
  <c r="AA19" i="1"/>
  <c r="AA20" i="1"/>
  <c r="AA5" i="1"/>
  <c r="N20" i="12"/>
  <c r="S20" i="12" s="1"/>
  <c r="N19" i="12"/>
  <c r="O19" i="12" s="1"/>
  <c r="N18" i="12"/>
  <c r="O18" i="12" s="1"/>
  <c r="R8" i="11"/>
  <c r="O8" i="11"/>
  <c r="T8" i="11" s="1"/>
  <c r="R72" i="1" l="1"/>
  <c r="Z60" i="5"/>
  <c r="Z40" i="5"/>
  <c r="Z59" i="5"/>
  <c r="Z39" i="5"/>
  <c r="Z58" i="5"/>
  <c r="Z38" i="5"/>
  <c r="Z42" i="3"/>
  <c r="Z62" i="3"/>
  <c r="Z38" i="3"/>
  <c r="Z58" i="3"/>
  <c r="Z61" i="3"/>
  <c r="Z41" i="3"/>
  <c r="Z40" i="3"/>
  <c r="Z60" i="3"/>
  <c r="Z39" i="3"/>
  <c r="Z59" i="3"/>
  <c r="Z41" i="13"/>
  <c r="Z61" i="13"/>
  <c r="Z40" i="13"/>
  <c r="Z60" i="13"/>
  <c r="Z59" i="13"/>
  <c r="Z39" i="13"/>
  <c r="Z38" i="13"/>
  <c r="Z58" i="13"/>
  <c r="Z61" i="11"/>
  <c r="Z41" i="11"/>
  <c r="Z70" i="11"/>
  <c r="Z50" i="11"/>
  <c r="Z69" i="11"/>
  <c r="Z49" i="11"/>
  <c r="Z47" i="11"/>
  <c r="Z67" i="11"/>
  <c r="Z40" i="11"/>
  <c r="Z60" i="11"/>
  <c r="Z64" i="11"/>
  <c r="Z44" i="11"/>
  <c r="Z65" i="11"/>
  <c r="Z45" i="11"/>
  <c r="Z62" i="11"/>
  <c r="Z42" i="11"/>
  <c r="Z66" i="11"/>
  <c r="Z46" i="11"/>
  <c r="Z43" i="11"/>
  <c r="Z63" i="11"/>
  <c r="Z48" i="11"/>
  <c r="Z68" i="11"/>
  <c r="Z64" i="9"/>
  <c r="Z44" i="9"/>
  <c r="Z43" i="9"/>
  <c r="Z63" i="9"/>
  <c r="Z68" i="9"/>
  <c r="Z48" i="9"/>
  <c r="Z67" i="9"/>
  <c r="Z47" i="9"/>
  <c r="Z65" i="9"/>
  <c r="Z45" i="9"/>
  <c r="Z46" i="9"/>
  <c r="Z66" i="9"/>
  <c r="Z69" i="9"/>
  <c r="Z49" i="9"/>
  <c r="W45" i="14"/>
  <c r="W65" i="14"/>
  <c r="X50" i="14"/>
  <c r="X70" i="14"/>
  <c r="X65" i="14"/>
  <c r="X45" i="14"/>
  <c r="Z50" i="14"/>
  <c r="Z70" i="14"/>
  <c r="Z65" i="14"/>
  <c r="Z45" i="14"/>
  <c r="W70" i="14"/>
  <c r="W50" i="14"/>
  <c r="Z47" i="10"/>
  <c r="Z67" i="10"/>
  <c r="Z70" i="10"/>
  <c r="Z50" i="10"/>
  <c r="Z46" i="10"/>
  <c r="Z66" i="10"/>
  <c r="Z44" i="10"/>
  <c r="Z64" i="10"/>
  <c r="Z42" i="10"/>
  <c r="Z62" i="10"/>
  <c r="Z68" i="10"/>
  <c r="Z48" i="10"/>
  <c r="Z42" i="7"/>
  <c r="Z62" i="7"/>
  <c r="Z61" i="7"/>
  <c r="Z41" i="7"/>
  <c r="Z40" i="7"/>
  <c r="Z60" i="7"/>
  <c r="Z38" i="7"/>
  <c r="Z58" i="7"/>
  <c r="Z39" i="7"/>
  <c r="Z59" i="7"/>
  <c r="Z43" i="7"/>
  <c r="Z63" i="7"/>
  <c r="X59" i="5"/>
  <c r="X39" i="5"/>
  <c r="W40" i="5"/>
  <c r="W60" i="5"/>
  <c r="W38" i="5"/>
  <c r="W58" i="5"/>
  <c r="X38" i="5"/>
  <c r="X58" i="5"/>
  <c r="W59" i="5"/>
  <c r="W39" i="5"/>
  <c r="X60" i="5"/>
  <c r="X40" i="5"/>
  <c r="W40" i="3"/>
  <c r="W60" i="3"/>
  <c r="X41" i="3"/>
  <c r="X61" i="3"/>
  <c r="W39" i="3"/>
  <c r="W59" i="3"/>
  <c r="X40" i="3"/>
  <c r="X60" i="3"/>
  <c r="X59" i="3"/>
  <c r="X39" i="3"/>
  <c r="W62" i="3"/>
  <c r="W42" i="3"/>
  <c r="W58" i="3"/>
  <c r="W38" i="3"/>
  <c r="W61" i="3"/>
  <c r="W41" i="3"/>
  <c r="X42" i="3"/>
  <c r="X62" i="3"/>
  <c r="X58" i="3"/>
  <c r="X38" i="3"/>
  <c r="W40" i="13"/>
  <c r="W60" i="13"/>
  <c r="X41" i="13"/>
  <c r="X61" i="13"/>
  <c r="W38" i="13"/>
  <c r="W58" i="13"/>
  <c r="W59" i="13"/>
  <c r="W39" i="13"/>
  <c r="X39" i="13"/>
  <c r="X59" i="13"/>
  <c r="X58" i="13"/>
  <c r="X38" i="13"/>
  <c r="X40" i="13"/>
  <c r="X60" i="13"/>
  <c r="W61" i="13"/>
  <c r="W41" i="13"/>
  <c r="W40" i="11"/>
  <c r="W60" i="11"/>
  <c r="X41" i="11"/>
  <c r="X61" i="11"/>
  <c r="W44" i="11"/>
  <c r="W64" i="11"/>
  <c r="X66" i="11"/>
  <c r="X46" i="11"/>
  <c r="X70" i="11"/>
  <c r="X50" i="11"/>
  <c r="W45" i="11"/>
  <c r="W65" i="11"/>
  <c r="W70" i="11"/>
  <c r="W50" i="11"/>
  <c r="X40" i="11"/>
  <c r="X60" i="11"/>
  <c r="W43" i="11"/>
  <c r="W63" i="11"/>
  <c r="X44" i="11"/>
  <c r="X64" i="11"/>
  <c r="W48" i="11"/>
  <c r="W68" i="11"/>
  <c r="W62" i="11"/>
  <c r="W42" i="11"/>
  <c r="X63" i="11"/>
  <c r="X43" i="11"/>
  <c r="W47" i="11"/>
  <c r="W67" i="11"/>
  <c r="X48" i="11"/>
  <c r="X68" i="11"/>
  <c r="X49" i="11"/>
  <c r="X69" i="11"/>
  <c r="W41" i="11"/>
  <c r="W61" i="11"/>
  <c r="X42" i="11"/>
  <c r="X62" i="11"/>
  <c r="W66" i="11"/>
  <c r="W46" i="11"/>
  <c r="X67" i="11"/>
  <c r="X47" i="11"/>
  <c r="X45" i="11"/>
  <c r="X65" i="11"/>
  <c r="W49" i="11"/>
  <c r="W69" i="11"/>
  <c r="W59" i="7"/>
  <c r="W39" i="7"/>
  <c r="X60" i="7"/>
  <c r="X40" i="7"/>
  <c r="W63" i="7"/>
  <c r="W43" i="7"/>
  <c r="X38" i="7"/>
  <c r="X58" i="7"/>
  <c r="X59" i="7"/>
  <c r="X39" i="7"/>
  <c r="W62" i="7"/>
  <c r="W42" i="7"/>
  <c r="X43" i="7"/>
  <c r="X63" i="7"/>
  <c r="W41" i="7"/>
  <c r="W61" i="7"/>
  <c r="X42" i="7"/>
  <c r="X62" i="7"/>
  <c r="W40" i="7"/>
  <c r="W60" i="7"/>
  <c r="X41" i="7"/>
  <c r="X61" i="7"/>
  <c r="W38" i="7"/>
  <c r="W58" i="7"/>
  <c r="X47" i="9"/>
  <c r="X67" i="9"/>
  <c r="X46" i="9"/>
  <c r="X66" i="9"/>
  <c r="W43" i="9"/>
  <c r="W63" i="9"/>
  <c r="X64" i="9"/>
  <c r="X44" i="9"/>
  <c r="W68" i="9"/>
  <c r="W48" i="9"/>
  <c r="W45" i="9"/>
  <c r="W65" i="9"/>
  <c r="W46" i="9"/>
  <c r="W66" i="9"/>
  <c r="X69" i="9"/>
  <c r="X49" i="9"/>
  <c r="W64" i="9"/>
  <c r="W44" i="9"/>
  <c r="X65" i="9"/>
  <c r="X45" i="9"/>
  <c r="X43" i="9"/>
  <c r="X63" i="9"/>
  <c r="W67" i="9"/>
  <c r="W47" i="9"/>
  <c r="X48" i="9"/>
  <c r="X68" i="9"/>
  <c r="W49" i="9"/>
  <c r="W69" i="9"/>
  <c r="W48" i="10"/>
  <c r="W68" i="10"/>
  <c r="X62" i="10"/>
  <c r="X42" i="10"/>
  <c r="W47" i="10"/>
  <c r="W67" i="10"/>
  <c r="X48" i="10"/>
  <c r="X68" i="10"/>
  <c r="W42" i="10"/>
  <c r="W62" i="10"/>
  <c r="X70" i="10"/>
  <c r="X50" i="10"/>
  <c r="W46" i="10"/>
  <c r="W66" i="10"/>
  <c r="X47" i="10"/>
  <c r="X67" i="10"/>
  <c r="X44" i="10"/>
  <c r="X64" i="10"/>
  <c r="W64" i="10"/>
  <c r="W44" i="10"/>
  <c r="X66" i="10"/>
  <c r="X46" i="10"/>
  <c r="W50" i="10"/>
  <c r="W70" i="10"/>
  <c r="W43" i="12"/>
  <c r="W63" i="12"/>
  <c r="Y61" i="12"/>
  <c r="Y41" i="12"/>
  <c r="W50" i="12"/>
  <c r="W70" i="12"/>
  <c r="Y42" i="12"/>
  <c r="Y62" i="12"/>
  <c r="V47" i="12"/>
  <c r="V67" i="12"/>
  <c r="W49" i="12"/>
  <c r="W69" i="12"/>
  <c r="Y68" i="12"/>
  <c r="Y48" i="12"/>
  <c r="W67" i="12"/>
  <c r="W47" i="12"/>
  <c r="V41" i="12"/>
  <c r="V61" i="12"/>
  <c r="V53" i="12"/>
  <c r="V73" i="12"/>
  <c r="V64" i="12"/>
  <c r="V44" i="12"/>
  <c r="W48" i="12"/>
  <c r="W68" i="12"/>
  <c r="V58" i="12"/>
  <c r="Y46" i="12"/>
  <c r="Y66" i="12"/>
  <c r="Y47" i="12"/>
  <c r="Y67" i="12"/>
  <c r="V48" i="12"/>
  <c r="V68" i="12"/>
  <c r="V66" i="12"/>
  <c r="V46" i="12"/>
  <c r="Y69" i="12"/>
  <c r="Y49" i="12"/>
  <c r="V45" i="12"/>
  <c r="V65" i="12"/>
  <c r="W41" i="12"/>
  <c r="W61" i="12"/>
  <c r="W46" i="12"/>
  <c r="W66" i="12"/>
  <c r="Y45" i="12"/>
  <c r="Y65" i="12"/>
  <c r="V42" i="12"/>
  <c r="V62" i="12"/>
  <c r="V51" i="12"/>
  <c r="V71" i="12"/>
  <c r="W54" i="12"/>
  <c r="W74" i="12"/>
  <c r="W45" i="12"/>
  <c r="W65" i="12"/>
  <c r="Y58" i="12"/>
  <c r="Y38" i="12"/>
  <c r="Y53" i="12"/>
  <c r="Y73" i="12"/>
  <c r="Y44" i="12"/>
  <c r="Y64" i="12"/>
  <c r="W40" i="12"/>
  <c r="W60" i="12"/>
  <c r="V40" i="12"/>
  <c r="V60" i="12"/>
  <c r="V39" i="12"/>
  <c r="V59" i="12"/>
  <c r="W42" i="12"/>
  <c r="W62" i="12"/>
  <c r="V50" i="12"/>
  <c r="V70" i="12"/>
  <c r="W53" i="12"/>
  <c r="W73" i="12"/>
  <c r="W44" i="12"/>
  <c r="W64" i="12"/>
  <c r="Y39" i="12"/>
  <c r="Y59" i="12"/>
  <c r="Y52" i="12"/>
  <c r="Y72" i="12"/>
  <c r="W51" i="12"/>
  <c r="W71" i="12"/>
  <c r="Y50" i="12"/>
  <c r="Y70" i="12"/>
  <c r="V74" i="12"/>
  <c r="V54" i="12"/>
  <c r="Y43" i="12"/>
  <c r="Y63" i="12"/>
  <c r="V72" i="12"/>
  <c r="V52" i="12"/>
  <c r="W38" i="12"/>
  <c r="W58" i="12"/>
  <c r="Y54" i="12"/>
  <c r="Y74" i="12"/>
  <c r="V43" i="12"/>
  <c r="V63" i="12"/>
  <c r="V49" i="12"/>
  <c r="V69" i="12"/>
  <c r="W72" i="12"/>
  <c r="W52" i="12"/>
  <c r="W59" i="12"/>
  <c r="W39" i="12"/>
  <c r="Y60" i="12"/>
  <c r="Y40" i="12"/>
  <c r="Y51" i="12"/>
  <c r="Y71" i="12"/>
  <c r="T6" i="14"/>
  <c r="T14" i="14"/>
  <c r="U3" i="14"/>
  <c r="T19" i="12"/>
  <c r="U10" i="14"/>
  <c r="U9" i="14"/>
  <c r="P15" i="14"/>
  <c r="U15" i="14" s="1"/>
  <c r="O12" i="12"/>
  <c r="T12" i="12" s="1"/>
  <c r="T8" i="14"/>
  <c r="T3" i="14"/>
  <c r="U11" i="14"/>
  <c r="P18" i="14"/>
  <c r="U18" i="14" s="1"/>
  <c r="T4" i="14"/>
  <c r="U7" i="14"/>
  <c r="U17" i="14"/>
  <c r="T13" i="14"/>
  <c r="T16" i="14"/>
  <c r="P12" i="14"/>
  <c r="U12" i="14" s="1"/>
  <c r="U5" i="14"/>
  <c r="U4" i="14"/>
  <c r="U8" i="14"/>
  <c r="U16" i="14"/>
  <c r="T5" i="14"/>
  <c r="T7" i="14"/>
  <c r="U14" i="14"/>
  <c r="T17" i="14"/>
  <c r="T9" i="14"/>
  <c r="T10" i="14"/>
  <c r="U6" i="14"/>
  <c r="U13" i="14"/>
  <c r="T11" i="14"/>
  <c r="S19" i="12"/>
  <c r="O20" i="12"/>
  <c r="T20" i="12" s="1"/>
  <c r="T18" i="12"/>
  <c r="S18" i="12"/>
  <c r="P8" i="11"/>
  <c r="U8" i="11" s="1"/>
  <c r="R15" i="11"/>
  <c r="R14" i="11"/>
  <c r="R13" i="11"/>
  <c r="R12" i="11"/>
  <c r="R11" i="11"/>
  <c r="R10" i="11"/>
  <c r="R9" i="11"/>
  <c r="R7" i="11"/>
  <c r="R6" i="11"/>
  <c r="R5" i="11"/>
  <c r="R4" i="11"/>
  <c r="R3" i="11"/>
  <c r="O18" i="10"/>
  <c r="P18" i="10" s="1"/>
  <c r="U18" i="10" s="1"/>
  <c r="O17" i="10"/>
  <c r="T17" i="10" s="1"/>
  <c r="O16" i="10"/>
  <c r="T16" i="10" s="1"/>
  <c r="O15" i="10"/>
  <c r="T15" i="10" s="1"/>
  <c r="O14" i="10"/>
  <c r="T14" i="10" s="1"/>
  <c r="O13" i="10"/>
  <c r="T13" i="10" s="1"/>
  <c r="O12" i="10"/>
  <c r="T12" i="10" s="1"/>
  <c r="O11" i="10"/>
  <c r="T11" i="10" s="1"/>
  <c r="O10" i="10"/>
  <c r="T10" i="10" s="1"/>
  <c r="O9" i="10"/>
  <c r="P9" i="10" s="1"/>
  <c r="O8" i="10"/>
  <c r="T8" i="10" s="1"/>
  <c r="O7" i="10"/>
  <c r="T7" i="10" s="1"/>
  <c r="O6" i="10"/>
  <c r="P6" i="10" s="1"/>
  <c r="O5" i="10"/>
  <c r="T5" i="10" s="1"/>
  <c r="O4" i="10"/>
  <c r="P4" i="10" s="1"/>
  <c r="O3" i="10"/>
  <c r="T3" i="10" s="1"/>
  <c r="S72" i="1" l="1"/>
  <c r="P14" i="10"/>
  <c r="U14" i="10" s="1"/>
  <c r="P17" i="10"/>
  <c r="U17" i="10" s="1"/>
  <c r="T9" i="10"/>
  <c r="T6" i="10"/>
  <c r="U4" i="10"/>
  <c r="U9" i="10"/>
  <c r="U6" i="10"/>
  <c r="P12" i="10"/>
  <c r="U12" i="10" s="1"/>
  <c r="T4" i="10"/>
  <c r="P3" i="10"/>
  <c r="U3" i="10" s="1"/>
  <c r="P8" i="10"/>
  <c r="U8" i="10" s="1"/>
  <c r="P10" i="10"/>
  <c r="U10" i="10" s="1"/>
  <c r="P15" i="10"/>
  <c r="U15" i="10" s="1"/>
  <c r="P16" i="10"/>
  <c r="U16" i="10" s="1"/>
  <c r="P5" i="10"/>
  <c r="U5" i="10" s="1"/>
  <c r="P7" i="10"/>
  <c r="U7" i="10" s="1"/>
  <c r="T18" i="10"/>
  <c r="P11" i="10"/>
  <c r="U11" i="10" s="1"/>
  <c r="P13" i="10"/>
  <c r="U13" i="10" s="1"/>
  <c r="O6" i="13" l="1"/>
  <c r="O5" i="13"/>
  <c r="O4" i="13"/>
  <c r="O3" i="13"/>
  <c r="T3" i="13" s="1"/>
  <c r="N17" i="12"/>
  <c r="N16" i="12"/>
  <c r="N15" i="12"/>
  <c r="N14" i="12"/>
  <c r="N13" i="12"/>
  <c r="N11" i="12"/>
  <c r="N10" i="12"/>
  <c r="N9" i="12"/>
  <c r="N8" i="12"/>
  <c r="N7" i="12"/>
  <c r="N6" i="12"/>
  <c r="N5" i="12"/>
  <c r="N4" i="12"/>
  <c r="N3" i="12"/>
  <c r="O17" i="12" l="1"/>
  <c r="T17" i="12" s="1"/>
  <c r="S17" i="12"/>
  <c r="O13" i="12"/>
  <c r="T13" i="12" s="1"/>
  <c r="S13" i="12"/>
  <c r="O14" i="12"/>
  <c r="T14" i="12" s="1"/>
  <c r="S14" i="12"/>
  <c r="O15" i="12"/>
  <c r="T15" i="12" s="1"/>
  <c r="S15" i="12"/>
  <c r="O16" i="12"/>
  <c r="T16" i="12" s="1"/>
  <c r="S16" i="12"/>
  <c r="O11" i="12"/>
  <c r="T11" i="12" s="1"/>
  <c r="S11" i="12"/>
  <c r="O10" i="12"/>
  <c r="T10" i="12" s="1"/>
  <c r="S10" i="12"/>
  <c r="O9" i="12"/>
  <c r="T9" i="12" s="1"/>
  <c r="S9" i="12"/>
  <c r="P5" i="13"/>
  <c r="U5" i="13" s="1"/>
  <c r="T5" i="13"/>
  <c r="P4" i="13"/>
  <c r="U4" i="13" s="1"/>
  <c r="T4" i="13"/>
  <c r="P3" i="13"/>
  <c r="U3" i="13" s="1"/>
  <c r="P6" i="13"/>
  <c r="U6" i="13" s="1"/>
  <c r="T6" i="13"/>
  <c r="O3" i="12"/>
  <c r="T3" i="12" s="1"/>
  <c r="S3" i="12"/>
  <c r="O4" i="12"/>
  <c r="T4" i="12" s="1"/>
  <c r="S4" i="12"/>
  <c r="O5" i="12"/>
  <c r="T5" i="12" s="1"/>
  <c r="S5" i="12"/>
  <c r="O6" i="12"/>
  <c r="T6" i="12" s="1"/>
  <c r="S6" i="12"/>
  <c r="O7" i="12"/>
  <c r="T7" i="12" s="1"/>
  <c r="S7" i="12"/>
  <c r="O8" i="12"/>
  <c r="T8" i="12" s="1"/>
  <c r="S8" i="12"/>
  <c r="O15" i="11"/>
  <c r="O14" i="11"/>
  <c r="O13" i="11"/>
  <c r="O12" i="11"/>
  <c r="O11" i="11"/>
  <c r="O10" i="11"/>
  <c r="O9" i="11"/>
  <c r="O7" i="11"/>
  <c r="T7" i="11" s="1"/>
  <c r="O6" i="11"/>
  <c r="O5" i="11"/>
  <c r="O4" i="11"/>
  <c r="O3" i="11"/>
  <c r="O4" i="9"/>
  <c r="O5" i="9"/>
  <c r="O6" i="9"/>
  <c r="O7" i="9"/>
  <c r="O8" i="9"/>
  <c r="O9" i="9"/>
  <c r="O10" i="9"/>
  <c r="T10" i="9" s="1"/>
  <c r="O11" i="9"/>
  <c r="O12" i="9"/>
  <c r="O13" i="9"/>
  <c r="T13" i="9" s="1"/>
  <c r="O14" i="9"/>
  <c r="T14" i="9" s="1"/>
  <c r="O3" i="9"/>
  <c r="P16" i="1"/>
  <c r="P12" i="1"/>
  <c r="Q12" i="1" l="1"/>
  <c r="V12" i="1" s="1"/>
  <c r="U12" i="1"/>
  <c r="Q16" i="1"/>
  <c r="V16" i="1" s="1"/>
  <c r="U16" i="1"/>
  <c r="P6" i="9"/>
  <c r="U6" i="9" s="1"/>
  <c r="T6" i="9"/>
  <c r="P5" i="9"/>
  <c r="U5" i="9" s="1"/>
  <c r="T5" i="9"/>
  <c r="P12" i="9"/>
  <c r="U12" i="9" s="1"/>
  <c r="T12" i="9"/>
  <c r="P7" i="9"/>
  <c r="U7" i="9" s="1"/>
  <c r="T7" i="9"/>
  <c r="P11" i="9"/>
  <c r="U11" i="9" s="1"/>
  <c r="T11" i="9"/>
  <c r="P10" i="9"/>
  <c r="U10" i="9" s="1"/>
  <c r="P13" i="9"/>
  <c r="U13" i="9" s="1"/>
  <c r="P3" i="9"/>
  <c r="U3" i="9" s="1"/>
  <c r="T3" i="9"/>
  <c r="P9" i="9"/>
  <c r="U9" i="9" s="1"/>
  <c r="T9" i="9"/>
  <c r="P14" i="9"/>
  <c r="U14" i="9" s="1"/>
  <c r="P8" i="9"/>
  <c r="U8" i="9" s="1"/>
  <c r="T8" i="9"/>
  <c r="P4" i="9"/>
  <c r="U4" i="9" s="1"/>
  <c r="T4" i="9"/>
  <c r="P15" i="11"/>
  <c r="U15" i="11" s="1"/>
  <c r="T15" i="11"/>
  <c r="P9" i="11"/>
  <c r="U9" i="11" s="1"/>
  <c r="T9" i="11"/>
  <c r="P3" i="11"/>
  <c r="U3" i="11" s="1"/>
  <c r="T3" i="11"/>
  <c r="P11" i="11"/>
  <c r="U11" i="11" s="1"/>
  <c r="T11" i="11"/>
  <c r="P7" i="11"/>
  <c r="U7" i="11" s="1"/>
  <c r="P10" i="11"/>
  <c r="U10" i="11" s="1"/>
  <c r="T10" i="11"/>
  <c r="P4" i="11"/>
  <c r="U4" i="11" s="1"/>
  <c r="T4" i="11"/>
  <c r="P12" i="11"/>
  <c r="U12" i="11" s="1"/>
  <c r="T12" i="11"/>
  <c r="P5" i="11"/>
  <c r="U5" i="11" s="1"/>
  <c r="T5" i="11"/>
  <c r="P13" i="11"/>
  <c r="U13" i="11" s="1"/>
  <c r="T13" i="11"/>
  <c r="P6" i="11"/>
  <c r="U6" i="11" s="1"/>
  <c r="T6" i="11"/>
  <c r="P14" i="11"/>
  <c r="U14" i="11" s="1"/>
  <c r="T14" i="11"/>
  <c r="P20" i="1"/>
  <c r="Q20" i="1" l="1"/>
  <c r="V20" i="1" s="1"/>
  <c r="U20" i="1"/>
  <c r="O8" i="7"/>
  <c r="O7" i="7"/>
  <c r="O6" i="7"/>
  <c r="O5" i="7"/>
  <c r="O4" i="7"/>
  <c r="O3" i="7"/>
  <c r="P3" i="7" l="1"/>
  <c r="U3" i="7" s="1"/>
  <c r="T3" i="7"/>
  <c r="P5" i="7"/>
  <c r="U5" i="7" s="1"/>
  <c r="T5" i="7"/>
  <c r="P6" i="7"/>
  <c r="U6" i="7" s="1"/>
  <c r="T6" i="7"/>
  <c r="P4" i="7"/>
  <c r="U4" i="7" s="1"/>
  <c r="T4" i="7"/>
  <c r="P7" i="7"/>
  <c r="U7" i="7" s="1"/>
  <c r="T7" i="7"/>
  <c r="P8" i="7"/>
  <c r="U8" i="7" s="1"/>
  <c r="T8" i="7"/>
  <c r="P4" i="1"/>
  <c r="O4" i="5"/>
  <c r="O5" i="5"/>
  <c r="O3" i="5"/>
  <c r="O4" i="3"/>
  <c r="O5" i="3"/>
  <c r="O6" i="3"/>
  <c r="O7" i="3"/>
  <c r="O3" i="3"/>
  <c r="P6" i="1"/>
  <c r="P37" i="1" s="1" a="1"/>
  <c r="P37" i="1" s="1"/>
  <c r="P72" i="1" s="1"/>
  <c r="P7" i="1"/>
  <c r="P8" i="1"/>
  <c r="P10" i="1"/>
  <c r="P11" i="1"/>
  <c r="P13" i="1"/>
  <c r="P14" i="1"/>
  <c r="P15" i="1"/>
  <c r="P17" i="1"/>
  <c r="P18" i="1"/>
  <c r="P19" i="1"/>
  <c r="P7" i="3" l="1"/>
  <c r="U7" i="3" s="1"/>
  <c r="T7" i="3"/>
  <c r="P6" i="3"/>
  <c r="U6" i="3" s="1"/>
  <c r="T6" i="3"/>
  <c r="P5" i="3"/>
  <c r="U5" i="3" s="1"/>
  <c r="T5" i="3"/>
  <c r="P3" i="3"/>
  <c r="U3" i="3" s="1"/>
  <c r="T3" i="3"/>
  <c r="P4" i="3"/>
  <c r="U4" i="3" s="1"/>
  <c r="T4" i="3"/>
  <c r="P5" i="5"/>
  <c r="U5" i="5" s="1"/>
  <c r="T5" i="5"/>
  <c r="P4" i="5"/>
  <c r="U4" i="5" s="1"/>
  <c r="T4" i="5"/>
  <c r="P3" i="5"/>
  <c r="U3" i="5" s="1"/>
  <c r="T3" i="5"/>
  <c r="Q5" i="1"/>
  <c r="V5" i="1" s="1"/>
  <c r="U5" i="1"/>
  <c r="Q13" i="1"/>
  <c r="V13" i="1" s="1"/>
  <c r="U13" i="1"/>
  <c r="Q15" i="1"/>
  <c r="U15" i="1"/>
  <c r="Q11" i="1"/>
  <c r="V11" i="1" s="1"/>
  <c r="U11" i="1"/>
  <c r="Q10" i="1"/>
  <c r="V10" i="1" s="1"/>
  <c r="U10" i="1"/>
  <c r="Q8" i="1"/>
  <c r="V8" i="1" s="1"/>
  <c r="U8" i="1"/>
  <c r="Q14" i="1"/>
  <c r="V14" i="1" s="1"/>
  <c r="U14" i="1"/>
  <c r="Q4" i="1"/>
  <c r="V4" i="1" s="1"/>
  <c r="U4" i="1"/>
  <c r="Q18" i="1"/>
  <c r="V18" i="1" s="1"/>
  <c r="U18" i="1"/>
  <c r="Q7" i="1"/>
  <c r="V7" i="1" s="1"/>
  <c r="U7" i="1"/>
  <c r="Q19" i="1"/>
  <c r="V19" i="1" s="1"/>
  <c r="U19" i="1"/>
  <c r="Q17" i="1"/>
  <c r="V17" i="1" s="1"/>
  <c r="U17" i="1"/>
  <c r="Q6" i="1"/>
  <c r="U6" i="1"/>
  <c r="U37" i="1" s="1" a="1"/>
  <c r="U37" i="1" s="1"/>
  <c r="U72" i="1" s="1"/>
  <c r="V6" i="1" l="1"/>
  <c r="V37" i="1" s="1" a="1"/>
  <c r="V37" i="1" s="1"/>
  <c r="V72" i="1" s="1"/>
  <c r="Q37" i="1" a="1"/>
  <c r="Q37" i="1" s="1"/>
  <c r="Q72" i="1" s="1"/>
  <c r="V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<sst xmlns="http://schemas.openxmlformats.org/spreadsheetml/2006/main" count="2077" uniqueCount="386">
  <si>
    <t>COSTO MANODOPERA</t>
  </si>
  <si>
    <t>Costo Orario Attività Studio Elettromeccanico</t>
  </si>
  <si>
    <t>Costo Orario Attività Studio Software</t>
  </si>
  <si>
    <t>Costo Orario Attività Costruzione Elettromeccanica</t>
  </si>
  <si>
    <t>Costo Orario Attività Collaudo Elettromeccanico</t>
  </si>
  <si>
    <t>Costo Orario Attività Collaudo Software</t>
  </si>
  <si>
    <t>GESTIONE REVISIONI</t>
  </si>
  <si>
    <t>REVISIONE</t>
  </si>
  <si>
    <t>DESCRIZIONE</t>
  </si>
  <si>
    <t>2022 03 15</t>
  </si>
  <si>
    <t>Emissione Definitiva Listino QE a UT e OTE</t>
  </si>
  <si>
    <t>2022 05 23</t>
  </si>
  <si>
    <t xml:space="preserve"> PASTA CORTA  - TCM ECOSYSTEM</t>
  </si>
  <si>
    <t>OPZIONE</t>
  </si>
  <si>
    <t>PRODUZIONE</t>
  </si>
  <si>
    <t>PRESSA</t>
  </si>
  <si>
    <t>GRUPPO DI TAGLIO</t>
  </si>
  <si>
    <t>TRABATTO</t>
  </si>
  <si>
    <t>ELEVATORE</t>
  </si>
  <si>
    <t>ESSICCATOIO</t>
  </si>
  <si>
    <t>RAFFREDDATORE</t>
  </si>
  <si>
    <t>Ore Studio Elettromeccanico</t>
  </si>
  <si>
    <t>Ore Studio Software PLC</t>
  </si>
  <si>
    <t>Ore Studio Software HMI</t>
  </si>
  <si>
    <t>Ore Costruzione Quadro</t>
  </si>
  <si>
    <t>Ore Collaudo Interno Elettromeccanico</t>
  </si>
  <si>
    <t>Ore Collaudo Interno Software</t>
  </si>
  <si>
    <t>Totale Costo Manodopera per Studio e Costruzione QE (Materiale STANDARD Normative CE)</t>
  </si>
  <si>
    <t>Totale Costo Manodopera per Studio e Costruzione QE (Materiale Fuori STANDARD e/o Normative UL/EN)</t>
  </si>
  <si>
    <t>Totale Costo Materiali QE (Materiale STANDARD Normative CE)</t>
  </si>
  <si>
    <t>Totale Costo Materiali QE(Materiale Fuori STANDARD e/o Normative UL/EN)</t>
  </si>
  <si>
    <t>Totale Costo QE (Materiale STANDARD Normative CE)</t>
  </si>
  <si>
    <t>Totale Costo QE(Materiale Fuori STANDARD e/o Normative UL/EN)</t>
  </si>
  <si>
    <t>Alimentaizone Speciale (380V 60Hz)</t>
  </si>
  <si>
    <t>Alimentaizone Speciale (220V 50/60Hz)</t>
  </si>
  <si>
    <t>QE Climatizzati - Climatizzatori da tetto</t>
  </si>
  <si>
    <t>QE Climatizzati - Climatizzatori da parete</t>
  </si>
  <si>
    <t>Box Climatizzato per Sistema di Supervisione</t>
  </si>
  <si>
    <t>Gestione Dosaggio Semola Gravimetrico (Acquisizione Celle + Hw + Sw)</t>
  </si>
  <si>
    <t>Gestione Additivi - 1 Componente Liquido - Pompa Peristaltica + Tank con Miscelatore - Integrazione in QE + QE Preparazione</t>
  </si>
  <si>
    <t>Gestione Additivi - 1 Componente Secco - Microdosatore Volumetrico Storci- Integrazione in QE</t>
  </si>
  <si>
    <t>Gestione Additivi - 1 Componente Secco - Microdosatore Gravimetrico Storci - Integrazione in QE</t>
  </si>
  <si>
    <t>Gestione Additivi - 1 Componente Secco/Liquido - Interfacciamento con QE Dosaggio Esterno (General Dosing - Schenck - Ecc)</t>
  </si>
  <si>
    <t>Estrusori con Motori a Riluttanza</t>
  </si>
  <si>
    <t>Interfacciamento con Tranciapiegatrici</t>
  </si>
  <si>
    <t>Motorizzazione singola piani</t>
  </si>
  <si>
    <t>Ventilazioni comandate con Inverter</t>
  </si>
  <si>
    <t>TELECAMERE Ambientali (4 Telecamere)</t>
  </si>
  <si>
    <r>
      <t>IoT - Sistema Predittivo Manutenzione - Motoriduttori e Reggispinta Estrusori (</t>
    </r>
    <r>
      <rPr>
        <b/>
        <sz val="12"/>
        <color rgb="FFFF0000"/>
        <rFont val="Calibri"/>
        <family val="2"/>
        <scheme val="minor"/>
      </rPr>
      <t>LIVELLO 01</t>
    </r>
    <r>
      <rPr>
        <b/>
        <sz val="12"/>
        <color theme="1"/>
        <rFont val="Calibri"/>
        <family val="2"/>
        <scheme val="minor"/>
      </rPr>
      <t>)</t>
    </r>
  </si>
  <si>
    <r>
      <t>IoT - Sistema Predittivo Manutenzione - Ventilazioni Essiccatoio (6 Ventilatori) (</t>
    </r>
    <r>
      <rPr>
        <b/>
        <sz val="12"/>
        <color rgb="FFFF0000"/>
        <rFont val="Calibri"/>
        <family val="2"/>
        <scheme val="minor"/>
      </rPr>
      <t>LIVELLO 01</t>
    </r>
    <r>
      <rPr>
        <b/>
        <sz val="12"/>
        <color theme="1"/>
        <rFont val="Calibri"/>
        <family val="2"/>
        <scheme val="minor"/>
      </rPr>
      <t>)</t>
    </r>
  </si>
  <si>
    <r>
      <t>IoT - Sistema Predittivo Qualità - Colore Prodotto (</t>
    </r>
    <r>
      <rPr>
        <b/>
        <sz val="12"/>
        <color rgb="FFFF0000"/>
        <rFont val="Calibri"/>
        <family val="2"/>
        <scheme val="minor"/>
      </rPr>
      <t>LIVELLO 01</t>
    </r>
    <r>
      <rPr>
        <b/>
        <sz val="12"/>
        <color theme="1"/>
        <rFont val="Calibri"/>
        <family val="2"/>
        <scheme val="minor"/>
      </rPr>
      <t>)</t>
    </r>
  </si>
  <si>
    <r>
      <t>IoT - Sistema Predittivo Qualità - Umidità Prodotto (IMKO+BUCHI) (</t>
    </r>
    <r>
      <rPr>
        <b/>
        <sz val="12"/>
        <color rgb="FFFF0000"/>
        <rFont val="Calibri"/>
        <family val="2"/>
        <scheme val="minor"/>
      </rPr>
      <t>LIVELLO 0</t>
    </r>
    <r>
      <rPr>
        <b/>
        <sz val="12"/>
        <color theme="1"/>
        <rFont val="Calibri"/>
        <family val="2"/>
        <scheme val="minor"/>
      </rPr>
      <t>1)</t>
    </r>
  </si>
  <si>
    <r>
      <t xml:space="preserve">IoT - Sistema Predittivo </t>
    </r>
    <r>
      <rPr>
        <b/>
        <sz val="12"/>
        <color rgb="FFFF0000"/>
        <rFont val="Calibri"/>
        <family val="2"/>
        <scheme val="minor"/>
      </rPr>
      <t>LIVELLO 02</t>
    </r>
    <r>
      <rPr>
        <b/>
        <sz val="12"/>
        <color theme="1"/>
        <rFont val="Calibri"/>
        <family val="2"/>
        <scheme val="minor"/>
      </rPr>
      <t xml:space="preserve"> - Pacchetto Base e Configurazione Infrastruttura IoT (Nessuna Licenze)</t>
    </r>
  </si>
  <si>
    <r>
      <t xml:space="preserve">IoT - Sistema Predittivo </t>
    </r>
    <r>
      <rPr>
        <b/>
        <sz val="12"/>
        <color rgb="FFFF0000"/>
        <rFont val="Calibri"/>
        <family val="2"/>
        <scheme val="minor"/>
      </rPr>
      <t>LIVELLO 02</t>
    </r>
    <r>
      <rPr>
        <b/>
        <sz val="12"/>
        <color theme="1"/>
        <rFont val="Calibri"/>
        <family val="2"/>
        <scheme val="minor"/>
      </rPr>
      <t xml:space="preserve"> - Canone Annuale Licenze IoT (1 Anno obbligatorio)</t>
    </r>
  </si>
  <si>
    <t>---</t>
  </si>
  <si>
    <t>+</t>
  </si>
  <si>
    <t>FA.ST. 160.1-400 TV</t>
  </si>
  <si>
    <t>LANDUCCI/NICCOLAI</t>
  </si>
  <si>
    <t>TMU/8,5/ATR</t>
  </si>
  <si>
    <t>Z 400 STD</t>
  </si>
  <si>
    <t>TCM-ECOSYSTEM 7,1/9</t>
  </si>
  <si>
    <t>R.M.N. 2/1</t>
  </si>
  <si>
    <t>A=4800 + B=2800</t>
  </si>
  <si>
    <t>DaDef</t>
  </si>
  <si>
    <t>FA.ST. 160.1-460 TV</t>
  </si>
  <si>
    <t>TMU/11/ATR</t>
  </si>
  <si>
    <t>TCM-ECOSYSTEM 9,6/9</t>
  </si>
  <si>
    <t>RMN-F 2/1-1</t>
  </si>
  <si>
    <t>FA.ST. 200.1-520 TV</t>
  </si>
  <si>
    <t>TMU/13/ATR</t>
  </si>
  <si>
    <t>TCM-ECOSYSTEM 10,9/11</t>
  </si>
  <si>
    <t>RMN-F 3/1-1</t>
  </si>
  <si>
    <t>A=4800 + B=3200</t>
  </si>
  <si>
    <t>FA.ST. 210.1-600 TV</t>
  </si>
  <si>
    <t>TMU/15/ATR</t>
  </si>
  <si>
    <t>Z 600 STD</t>
  </si>
  <si>
    <t>TCM-ECOSYSTEM 14,6/11</t>
  </si>
  <si>
    <t>A=4800 + B=3600</t>
  </si>
  <si>
    <t>FA.ST. 225.1-670 TV</t>
  </si>
  <si>
    <t>TMU/19/ATR</t>
  </si>
  <si>
    <t>TCM-ECOSYSTEM 17,1/11</t>
  </si>
  <si>
    <t>RMN-F 4/1-1</t>
  </si>
  <si>
    <t>A=4800 + B=4000</t>
  </si>
  <si>
    <t>FA.ST. 245.1-670 TV 2I</t>
  </si>
  <si>
    <t>TCM-L-ECOSYSTEM 14,6/13</t>
  </si>
  <si>
    <t>A=4800 + B=4400</t>
  </si>
  <si>
    <t>FA.ST. 210.2-600 TV</t>
  </si>
  <si>
    <t>TMU/26,5/ATR</t>
  </si>
  <si>
    <t xml:space="preserve">Z 800 GP STD </t>
  </si>
  <si>
    <t>TCM-L-ECOSYSTEM 18,4/13</t>
  </si>
  <si>
    <t>RMNL-F 4/1-1</t>
  </si>
  <si>
    <t>A=5200 + B=4400</t>
  </si>
  <si>
    <t>Z 800 GP STD</t>
  </si>
  <si>
    <t>TCM-L-ECOSYSTEM 20,9/13</t>
  </si>
  <si>
    <t>RMNL-F 5/1-1</t>
  </si>
  <si>
    <t>A=5200 + B=4800</t>
  </si>
  <si>
    <t>FA.ST. 225.2-670 TV</t>
  </si>
  <si>
    <t>TMD/19/VS</t>
  </si>
  <si>
    <t>TCM-L-ECOSYSTEM 23,4/13</t>
  </si>
  <si>
    <t>A=5200 + B=5200</t>
  </si>
  <si>
    <t>FA.ST. 245.2-670 TV</t>
  </si>
  <si>
    <t>Z 1100 GP STD</t>
  </si>
  <si>
    <t>TCM-L-ECOSYSTEM 23,4/15</t>
  </si>
  <si>
    <t>RMNL-F 6/1-1</t>
  </si>
  <si>
    <t>FA.ST. 210.4-600 TV</t>
  </si>
  <si>
    <t>TMD 26,5</t>
  </si>
  <si>
    <t>ND</t>
  </si>
  <si>
    <t>TCM-L INC. V.V. 15,9/17 + TCM-L ESS. 14,6/15</t>
  </si>
  <si>
    <t>RMN_L-F 9/2-1</t>
  </si>
  <si>
    <t>A=5200 + B=5200 + C=5200</t>
  </si>
  <si>
    <t>FA.ST. 245.4-670</t>
  </si>
  <si>
    <t>TMD 36</t>
  </si>
  <si>
    <t>TCM-L INC. V.V. 19,6/17 + Z 1600 GP + TCM-L ESS. 18,4/15</t>
  </si>
  <si>
    <t>RMN_L-F 12/1-2</t>
  </si>
  <si>
    <t>A=5200 + B=5200 + C=5200 + D=4000</t>
  </si>
  <si>
    <t>Incremento Ore Attività</t>
  </si>
  <si>
    <t>PLC h +</t>
  </si>
  <si>
    <t>HMI h+</t>
  </si>
  <si>
    <t>SCH h +</t>
  </si>
  <si>
    <t>OFF h +</t>
  </si>
  <si>
    <t xml:space="preserve"> PASTA CORTA  - TCM 100</t>
  </si>
  <si>
    <t>TMU 15</t>
  </si>
  <si>
    <t>TCM-L-100 13,4/7</t>
  </si>
  <si>
    <t>RMN 3/1-1</t>
  </si>
  <si>
    <t>FA.ST. 245.1-670 TV/ID</t>
  </si>
  <si>
    <t>TMU 19 </t>
  </si>
  <si>
    <t>TCM-L-100 14,6/9</t>
  </si>
  <si>
    <t>TMU 26,5</t>
  </si>
  <si>
    <t>TCM-L-100 15,9/11</t>
  </si>
  <si>
    <t>RMN_L-F 4/1-1</t>
  </si>
  <si>
    <t>TMD 19</t>
  </si>
  <si>
    <t>TCM-L-100 19,6/11</t>
  </si>
  <si>
    <t>RMN_L-F 5/1-1</t>
  </si>
  <si>
    <t>TCM-L-100 23,4/11 </t>
  </si>
  <si>
    <t>RMN_L-F 6/1-1</t>
  </si>
  <si>
    <t xml:space="preserve"> PASTA CORTA  - ROMET</t>
  </si>
  <si>
    <t xml:space="preserve">ROMET 24/9 A-DV + ROMET 24/9 A-DV + TELESS ESS. 18/17 </t>
  </si>
  <si>
    <t>RMN-F 5/1-1</t>
  </si>
  <si>
    <t>R&amp;D per MASTER</t>
  </si>
  <si>
    <t>SILO PASTA CORTA</t>
  </si>
  <si>
    <t>CONFIGURAZIONE</t>
  </si>
  <si>
    <t>CARICO</t>
  </si>
  <si>
    <t>SCARICO</t>
  </si>
  <si>
    <t>OPZIONE 2 TELECAMERE Ambientali</t>
  </si>
  <si>
    <t>1 BATTERIA 1-4 SILI (Integrato nel QE Linea)</t>
  </si>
  <si>
    <t>AUTO</t>
  </si>
  <si>
    <t>A=1200</t>
  </si>
  <si>
    <t>1 BATTERIA - 5/6 SILI</t>
  </si>
  <si>
    <t>A=2400</t>
  </si>
  <si>
    <t>1 BATTERIA - 12 SILI</t>
  </si>
  <si>
    <t>A=2800</t>
  </si>
  <si>
    <t>2 BATTERIE - 4 SILI</t>
  </si>
  <si>
    <t>2 BATTERIE - 6 SILI</t>
  </si>
  <si>
    <t>A=3600</t>
  </si>
  <si>
    <t>2 BATTERIE - 12 SILI</t>
  </si>
  <si>
    <t>A=4400</t>
  </si>
  <si>
    <t xml:space="preserve"> PASTA LUNGA  - 180</t>
  </si>
  <si>
    <t>FORMATRICE</t>
  </si>
  <si>
    <t>Totale Costo  QE (Materiale STANDARD Normative CE)</t>
  </si>
  <si>
    <t>Totale Costo  QE(Materiale Fuori STANDARD e/o Normative UL/EN)</t>
  </si>
  <si>
    <t>FA.ST. 210.2-2550/3 TV</t>
  </si>
  <si>
    <t>STE-3/2550</t>
  </si>
  <si>
    <t>GPL/180- C/30.0</t>
  </si>
  <si>
    <t>FA.ST. 210.2-2550/4 TV</t>
  </si>
  <si>
    <t>STE-4/2550</t>
  </si>
  <si>
    <t>GPL/180-CD/35.0</t>
  </si>
  <si>
    <t>FA.ST. 225.2-2550/4 TV</t>
  </si>
  <si>
    <t>GPL/180-D/40.0</t>
  </si>
  <si>
    <t>FA.ST. 245.2-2550/4 TV</t>
  </si>
  <si>
    <t>GPL/180-DE/45.0</t>
  </si>
  <si>
    <t>FA.ST. 200.4-2550/5 TV</t>
  </si>
  <si>
    <t>STE-5/2550</t>
  </si>
  <si>
    <t>GPL/180-E/50.0</t>
  </si>
  <si>
    <t>A=5200 + B=5200 + C=1600</t>
  </si>
  <si>
    <t>GPL/180-E/55.0</t>
  </si>
  <si>
    <t>A=5200 + B=5200 + C=4800</t>
  </si>
  <si>
    <t>FA.ST. 210.4-2550/6 TV</t>
  </si>
  <si>
    <t>STE-6/2550</t>
  </si>
  <si>
    <t>GPL/180-F/60.0</t>
  </si>
  <si>
    <t xml:space="preserve"> PASTA LUNGA  - ITRG270</t>
  </si>
  <si>
    <t>FA.ST 180.1 - 2000 TV</t>
  </si>
  <si>
    <t>STE-2/2000</t>
  </si>
  <si>
    <t>GPL/ITRG-A/10.0</t>
  </si>
  <si>
    <t>A=4000 + B=3200</t>
  </si>
  <si>
    <t>FA.ST. 210.1-2550 TV2</t>
  </si>
  <si>
    <t>STE-2/2550</t>
  </si>
  <si>
    <t>GPL/ITRG-AB/15.0</t>
  </si>
  <si>
    <t>A=4400 + B=4000</t>
  </si>
  <si>
    <t>FA.ST. 245.1-2550/2 TV/ID</t>
  </si>
  <si>
    <t>GPL/ITRG-B/20.0</t>
  </si>
  <si>
    <t>A=4400 + B=4400</t>
  </si>
  <si>
    <t>FA.ST 180.2-2550/2 TV</t>
  </si>
  <si>
    <t>GPL/ITRG-C/30.0</t>
  </si>
  <si>
    <t>GPL/ITRG-CD/35.0</t>
  </si>
  <si>
    <t>GPL/ITRG-D/40.0</t>
  </si>
  <si>
    <t>GPL/ITRG-DE/45.0</t>
  </si>
  <si>
    <t>GPL/ITRG-E/50.0</t>
  </si>
  <si>
    <t>GPL/ITRG-EF/55.0</t>
  </si>
  <si>
    <t>GPL/ITRG-F/60.0</t>
  </si>
  <si>
    <t xml:space="preserve"> SILI E POLOMONI PER LINEA PASTA LUNGA</t>
  </si>
  <si>
    <t>SILO/POLMONE</t>
  </si>
  <si>
    <t>SFILATRICE</t>
  </si>
  <si>
    <t>POLMONE A SFERE 4MT (Integrato nel QE Linea)</t>
  </si>
  <si>
    <t>1 IPACK</t>
  </si>
  <si>
    <t>aggiungere 800 al QE Linea</t>
  </si>
  <si>
    <t>POLMONE A SFERE 6MT (Integrato nel QE Linea)</t>
  </si>
  <si>
    <t>POLMONE A SFERE 8MT (Integrato nel QE Linea)</t>
  </si>
  <si>
    <t>4p/7,5m</t>
  </si>
  <si>
    <t>C=2000</t>
  </si>
  <si>
    <t>5p/9,5m</t>
  </si>
  <si>
    <t>6p/11,5m</t>
  </si>
  <si>
    <t>7p/13,5 m</t>
  </si>
  <si>
    <t>2 IPACK</t>
  </si>
  <si>
    <t>C=3200</t>
  </si>
  <si>
    <t>7p/15,5m</t>
  </si>
  <si>
    <t>7p/19,5m</t>
  </si>
  <si>
    <t>8p/21,5m</t>
  </si>
  <si>
    <t>9p/21,5m</t>
  </si>
  <si>
    <t>10p/21,5m</t>
  </si>
  <si>
    <t>11p/21,5m</t>
  </si>
  <si>
    <t>12p/21,5m</t>
  </si>
  <si>
    <t>COUSCOUS</t>
  </si>
  <si>
    <t>GRUPPO FORMAZIONE</t>
  </si>
  <si>
    <t>CUOCITORE</t>
  </si>
  <si>
    <r>
      <t>IoT - Sistema Predittivo Qualità - Umidità Prodotto (IMKO+IMKO) (</t>
    </r>
    <r>
      <rPr>
        <b/>
        <sz val="12"/>
        <color rgb="FFFF0000"/>
        <rFont val="Calibri"/>
        <family val="2"/>
        <scheme val="minor"/>
      </rPr>
      <t>LIVELLO 01</t>
    </r>
    <r>
      <rPr>
        <b/>
        <sz val="12"/>
        <color theme="1"/>
        <rFont val="Calibri"/>
        <family val="2"/>
        <scheme val="minor"/>
      </rPr>
      <t>)</t>
    </r>
  </si>
  <si>
    <t>ROMET HT 10/6 CC V</t>
  </si>
  <si>
    <t>RAA 1000x2000</t>
  </si>
  <si>
    <t>A=4000</t>
  </si>
  <si>
    <t>IMP/CC + ROULOUSE 1200</t>
  </si>
  <si>
    <t>CVS-1200/CC</t>
  </si>
  <si>
    <t>RAA 1500x3000</t>
  </si>
  <si>
    <t>A=5200 + B=2000 (zona sili)</t>
  </si>
  <si>
    <t>IMP/CC + ROULOUSE 2400</t>
  </si>
  <si>
    <t>CVS-2400/CC</t>
  </si>
  <si>
    <t>RAA 1500x5000</t>
  </si>
  <si>
    <t>A=4400 + B=4400 + C=2400 (zona sili)</t>
  </si>
  <si>
    <t>IMP/CC + ROULOUSE 3000</t>
  </si>
  <si>
    <t>CVS-3000/CC</t>
  </si>
  <si>
    <t>A=5200 + B=5200 + C=2400 (zona sili)</t>
  </si>
  <si>
    <t>GM</t>
  </si>
  <si>
    <t>PRODUZIONE NIDI / LASAGNE</t>
  </si>
  <si>
    <t>NIDITRICE/LASAGNATRICE</t>
  </si>
  <si>
    <t>TELAIO</t>
  </si>
  <si>
    <t>Totale Costo Manodopera per Studio e Costruzione QE (Materiale STANDARD)</t>
  </si>
  <si>
    <t>350 / 100</t>
  </si>
  <si>
    <t>FA.ST 130.1 - 1000 N</t>
  </si>
  <si>
    <t>SD/1000/L</t>
  </si>
  <si>
    <t>1000 x 1400</t>
  </si>
  <si>
    <t>GM 350-44/7</t>
  </si>
  <si>
    <t>A=4000 + =B4000 + C=2000 (zona scarico)</t>
  </si>
  <si>
    <t>700 / 200</t>
  </si>
  <si>
    <t>FA.ST 130.2 - 2000 N</t>
  </si>
  <si>
    <t>SD/2000/L</t>
  </si>
  <si>
    <t>2000 x 1400</t>
  </si>
  <si>
    <t>GM 700-50/7</t>
  </si>
  <si>
    <t>A=4400 + =B4400 + C=2000 (zona scarico)</t>
  </si>
  <si>
    <t>900 / 280</t>
  </si>
  <si>
    <t>GM 900-50/9</t>
  </si>
  <si>
    <t>1100 / 360</t>
  </si>
  <si>
    <t>FA.ST 145.2 - 2000 N</t>
  </si>
  <si>
    <t>GM 1100-50/11</t>
  </si>
  <si>
    <t>A=5200 + =B5200 + C=2800 (zona scarico)</t>
  </si>
  <si>
    <t>1300 / 360</t>
  </si>
  <si>
    <t>GM 1300-50/13</t>
  </si>
  <si>
    <t>LINEE  CTA</t>
  </si>
  <si>
    <t>PRODUZIONE Kg/h</t>
  </si>
  <si>
    <t>NIDITRICE</t>
  </si>
  <si>
    <t>Totale Costo QE (Normative CE)</t>
  </si>
  <si>
    <t>FA.ST 145.1 - 2000 T.V.</t>
  </si>
  <si>
    <t>SD 24/65</t>
  </si>
  <si>
    <t>GN - CTA 12/4</t>
  </si>
  <si>
    <t>RMN 2/1</t>
  </si>
  <si>
    <t>A=3600 + B=4400</t>
  </si>
  <si>
    <t>FA.ST 160.1 - 2000 T.V.</t>
  </si>
  <si>
    <t>GN - CTA 15/5</t>
  </si>
  <si>
    <t>RMN F 2/1.1</t>
  </si>
  <si>
    <t>A=4000 + B=4800</t>
  </si>
  <si>
    <t>FA.ST 180.1 - 2000 T.V.</t>
  </si>
  <si>
    <t>DD 24/65</t>
  </si>
  <si>
    <t>GN - CTA 18/5</t>
  </si>
  <si>
    <t>A=4000 + B=5200</t>
  </si>
  <si>
    <t>DATA DOCUMENTO</t>
  </si>
  <si>
    <t>DATA REVISIONE</t>
  </si>
  <si>
    <t>01</t>
  </si>
  <si>
    <t>02</t>
  </si>
  <si>
    <t>Incrementato "SILI PASTA CORTA" - "1 Battieria 5-6 S Sili" - "Tempo Costruzione QE" da 100 a 120 Ore perche valutazioni iniziale troppo stretta.</t>
  </si>
  <si>
    <t>03</t>
  </si>
  <si>
    <t>Incrementato "PASTA LUNGA - ITRG270" - "Produzione 2200Kg/h" - "Tempo Collaudo QE" da 40 a 50 Ore perche non corretto rispetto il teorico del 10-12% del tempo di costruzione</t>
  </si>
  <si>
    <t>04</t>
  </si>
  <si>
    <t>Incrementato "SILO LUNGA - ITRG270" - "Produzione 2200Kg/h" - "Tempo Collaudo QE" da 40 a 50 Ore perche non corretto rispetto il teorico del 10-12% del tempo di costruzione</t>
  </si>
  <si>
    <t>7p/11,5m</t>
  </si>
  <si>
    <t>00</t>
  </si>
  <si>
    <t>Creato modello "Sili Pasta Lunga" - Silo con 7 piani e sfilatrice singola</t>
  </si>
  <si>
    <t xml:space="preserve">ROMET 24/9 A-DV + ROMET 24/9 A-DV + TCM-L-ECOSYSTEM 23,4/17 </t>
  </si>
  <si>
    <t>A=5200 + B=5200 + C=4000</t>
  </si>
  <si>
    <t>Creata Scheda per Linee ROMET 3500 Kg/h</t>
  </si>
  <si>
    <t>05</t>
  </si>
  <si>
    <t>Creata Scheda per Linee ROMET 6000 Kg/h</t>
  </si>
  <si>
    <t>Espulsione Aria Trabatto comandata con Inverter</t>
  </si>
  <si>
    <t>06</t>
  </si>
  <si>
    <t>Inserita Opzione "Espulsione Aria Trabatto comandata con Inverter" su PASTA CORTA - ECOCSYSTEM e PASTA CORTA - TCM100</t>
  </si>
  <si>
    <t>Dimensioni - Struttura QE (Materiale Standard Normativa CE)</t>
  </si>
  <si>
    <t>Lama D'Aria Ingresso Trabatto</t>
  </si>
  <si>
    <t>10% dal 20/06</t>
  </si>
  <si>
    <t>07</t>
  </si>
  <si>
    <t>Inserita Opzione "Lama D'Aria Ingresso Trabatto" su PASTA CORTA - ECOCSYSTEM,  PASTA CORTA - TCM100 e PASTA CORTA - ROMET</t>
  </si>
  <si>
    <t>08</t>
  </si>
  <si>
    <t>Incrementato Costo Materiali Standard del 10% a partire dal 20/06/2022  a seguito comunicazione SIEMENS</t>
  </si>
  <si>
    <t>2023 05 23</t>
  </si>
  <si>
    <t>09</t>
  </si>
  <si>
    <t>Incrementato Costo Materiali del 20% dell'opzione relativa al comando delle ventilazioni essiccatoio con inverter nelle linee CTA, a seguito comunicazione SIEMENS</t>
  </si>
  <si>
    <t>ROMET HT 24/8 CC V</t>
  </si>
  <si>
    <t>10</t>
  </si>
  <si>
    <t>Aggiornamento descrizione ROMET da 24/9DV a 24/8HT per la linea da 1200 Kg. Il costo del materiale incrementa di 6KEuro a causa dell'utilizzo dell'inverter</t>
  </si>
  <si>
    <t>11</t>
  </si>
  <si>
    <t>Aumentato costo sistema di 4 telecamere per controllo ambientale sulle linee di produzione da 6000 a 8000 Euro a seguito incremento costo materiali.</t>
  </si>
  <si>
    <t>Comando Nastrini di Scarico con Inverter</t>
  </si>
  <si>
    <t>Inserito OPZIONE per Sili Pasta Corta -&gt; Comando Nastrini di Scarico con Inverter</t>
  </si>
  <si>
    <t>2° Stazione di supervisione</t>
  </si>
  <si>
    <t>12</t>
  </si>
  <si>
    <t>13</t>
  </si>
  <si>
    <t>Inserito OPZIONE per 2° Stazione di supervisione</t>
  </si>
  <si>
    <t>2022 11 05</t>
  </si>
  <si>
    <t>2022 12 02</t>
  </si>
  <si>
    <t>Inserito OPZIONE Raffreddamento Olio Riduttori Viti</t>
  </si>
  <si>
    <t>14</t>
  </si>
  <si>
    <t>Raffreddamento Olio Riduttori Viti di estrusione</t>
  </si>
  <si>
    <t>4% dal 01/01</t>
  </si>
  <si>
    <t>CVS-600/CC</t>
  </si>
  <si>
    <t>2023 03 01</t>
  </si>
  <si>
    <t>Emissione Listino QE a UT e OTE Versione 2023-03</t>
  </si>
  <si>
    <t>IMP/CC + ROULOUSE 600</t>
  </si>
  <si>
    <t>ROMET HT 24/6,5/2 CC</t>
  </si>
  <si>
    <t>ROMET HT 24/9/2 CC</t>
  </si>
  <si>
    <t xml:space="preserve">2023 01 15 </t>
  </si>
  <si>
    <t>Incementato tempo costruzione sili polmone con sfilatrice singola di 20h causa applicazione box a bordo sfilatrice</t>
  </si>
  <si>
    <t>LS 2000</t>
  </si>
  <si>
    <t>A=5200 + =B4400 + C=2000 (zona scarico)</t>
  </si>
  <si>
    <t>EPS/8DS</t>
  </si>
  <si>
    <t>Costo Materiale</t>
  </si>
  <si>
    <t>Costo Manodopera</t>
  </si>
  <si>
    <t>2 BATTERIE - 14 SILI</t>
  </si>
  <si>
    <t>Incremento costo materiali di 3% causa incfremento costo materiali da SIEMENS</t>
  </si>
  <si>
    <t>2023 01 15</t>
  </si>
  <si>
    <t>4% dal 2023</t>
  </si>
  <si>
    <t>3% dal 2024</t>
  </si>
  <si>
    <t>Incrementato differenza tra materiale CE e Materiale UL dal 15% al 20% causa cambio sconti per acquisti troppo limitati</t>
  </si>
  <si>
    <t>10% dal 2024</t>
  </si>
  <si>
    <t>4% dal 2024</t>
  </si>
  <si>
    <t>Incrementato costo materiali per sili pasta corta e pasta lunga per allineamento a media consuntivi</t>
  </si>
  <si>
    <t>10% dal 2023</t>
  </si>
  <si>
    <t>Emissione Listino QE a UT e OTE Versione 2024-02</t>
  </si>
  <si>
    <t>2024 02 12</t>
  </si>
  <si>
    <t>Aggiornamento costo materiali come da indicazione SIEMENS7</t>
  </si>
  <si>
    <t>Incrementato le ore di cablaggio dei sili pasta lunga di 20h a causa del cablaggio del nuovo quadro a bordo sfilatrice. (Aumento qualità da collaudo completo interno)</t>
  </si>
  <si>
    <t>FA.ST. 160.2-460 TV</t>
  </si>
  <si>
    <t>Alimentaizone Speciale (380/440V 60Hz)</t>
  </si>
  <si>
    <t>Ventilazione Riscaldata  Sotto Trafila</t>
  </si>
  <si>
    <t>Motorizzaziooni a doppia polarità per comando piani</t>
  </si>
  <si>
    <t>Gruppo ByPass Idraulico con doppia valvola</t>
  </si>
  <si>
    <t>Inserito Opzionali relativi a Motorizzazioni a doppia polarita, bypass idraulici con doppia valvola e ventilazione riscaldata sotto trafila per le linee pasta corta</t>
  </si>
  <si>
    <t>Preraffreddamento Frontale</t>
  </si>
  <si>
    <t>ID</t>
  </si>
  <si>
    <t>LINEA</t>
  </si>
  <si>
    <t>OPTIONALS</t>
  </si>
  <si>
    <t>OFFICINA</t>
  </si>
  <si>
    <t>MANODOPERA</t>
  </si>
  <si>
    <t>CE</t>
  </si>
  <si>
    <t>UL - EN</t>
  </si>
  <si>
    <t>MATERIALI</t>
  </si>
  <si>
    <t>TOTALE</t>
  </si>
  <si>
    <t xml:space="preserve">TOTALE </t>
  </si>
  <si>
    <t>CONFIGURATORE QUADRO ELETTRICO - XXXXXX - CLIENTE</t>
  </si>
  <si>
    <t>Incremento Ore Attività per Optionals</t>
  </si>
  <si>
    <t>CALCOLO INCREMENTO ANNUALE COSTI MATERIALI</t>
  </si>
  <si>
    <t>ORE INGEGNERIA</t>
  </si>
  <si>
    <t>Optional</t>
  </si>
  <si>
    <t>DaSDef</t>
  </si>
  <si>
    <t>NORMATIVE</t>
  </si>
  <si>
    <t>UL</t>
  </si>
  <si>
    <t>CARATTERISTICHE</t>
  </si>
  <si>
    <t>NORME</t>
  </si>
  <si>
    <t>Piano Normativo di riferimento - CE</t>
  </si>
  <si>
    <t>Piano Normativo di riferimento - UL</t>
  </si>
  <si>
    <t>Piano Normativo di riferimento - NR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</si>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</sst>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&quot;€&quot;\ #,##0"/>
  </numFmts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4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4" borderId="0" applyNumberFormat="0" applyBorder="0" applyAlignment="0">
      <protection locked="0"/>
    </xf>
    <xf numFmtId="0" fontId="17" fillId="25" borderId="15" applyNumberFormat="0" applyAlignment="0" applyProtection="0"/>
    <xf numFmtId="0" fontId="18" fillId="0" borderId="16" applyNumberFormat="0" applyFill="0" applyAlignment="0" applyProtection="0"/>
    <xf numFmtId="0" fontId="6" fillId="26" borderId="2" applyNumberFormat="0" applyAlignment="0"/>
  </cellStyleXfs>
  <cellXfs count="225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3" fillId="3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2" xfId="0" applyNumberFormat="1" applyBorder="1"/>
    <xf numFmtId="164" fontId="5" fillId="4" borderId="2" xfId="0" applyNumberFormat="1" applyFont="1" applyFill="1" applyBorder="1"/>
    <xf numFmtId="0" fontId="4" fillId="0" borderId="2" xfId="0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164" fontId="7" fillId="5" borderId="2" xfId="0" applyNumberFormat="1" applyFont="1" applyFill="1" applyBorder="1"/>
    <xf numFmtId="0" fontId="3" fillId="3" borderId="4" xfId="0" applyFont="1" applyFill="1" applyBorder="1" applyAlignment="1">
      <alignment horizontal="center" textRotation="90" wrapText="1"/>
    </xf>
    <xf numFmtId="0" fontId="6" fillId="7" borderId="1" xfId="0" applyFont="1" applyFill="1" applyBorder="1" applyAlignment="1">
      <alignment horizontal="center" textRotation="90" wrapText="1"/>
    </xf>
    <xf numFmtId="0" fontId="3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textRotation="90" wrapText="1"/>
    </xf>
    <xf numFmtId="0" fontId="4" fillId="0" borderId="2" xfId="0" quotePrefix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textRotation="90" wrapText="1"/>
    </xf>
    <xf numFmtId="0" fontId="6" fillId="9" borderId="1" xfId="0" applyFont="1" applyFill="1" applyBorder="1" applyAlignment="1">
      <alignment horizontal="center" textRotation="90" wrapText="1"/>
    </xf>
    <xf numFmtId="0" fontId="6" fillId="10" borderId="1" xfId="0" applyFont="1" applyFill="1" applyBorder="1" applyAlignment="1">
      <alignment horizontal="center" textRotation="90" wrapText="1"/>
    </xf>
    <xf numFmtId="164" fontId="0" fillId="4" borderId="2" xfId="0" applyNumberFormat="1" applyFill="1" applyBorder="1"/>
    <xf numFmtId="164" fontId="4" fillId="5" borderId="2" xfId="0" applyNumberFormat="1" applyFont="1" applyFill="1" applyBorder="1"/>
    <xf numFmtId="164" fontId="4" fillId="8" borderId="2" xfId="0" applyNumberFormat="1" applyFont="1" applyFill="1" applyBorder="1"/>
    <xf numFmtId="164" fontId="4" fillId="10" borderId="2" xfId="0" applyNumberFormat="1" applyFont="1" applyFill="1" applyBorder="1"/>
    <xf numFmtId="0" fontId="0" fillId="9" borderId="2" xfId="0" applyFill="1" applyBorder="1"/>
    <xf numFmtId="164" fontId="6" fillId="11" borderId="2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textRotation="90" wrapText="1"/>
    </xf>
    <xf numFmtId="0" fontId="6" fillId="11" borderId="1" xfId="0" applyFont="1" applyFill="1" applyBorder="1" applyAlignment="1">
      <alignment horizontal="center" textRotation="90" wrapText="1"/>
    </xf>
    <xf numFmtId="0" fontId="0" fillId="0" borderId="2" xfId="0" applyBorder="1" applyAlignment="1">
      <alignment horizontal="center"/>
    </xf>
    <xf numFmtId="164" fontId="7" fillId="7" borderId="2" xfId="0" applyNumberFormat="1" applyFont="1" applyFill="1" applyBorder="1"/>
    <xf numFmtId="164" fontId="5" fillId="6" borderId="2" xfId="0" applyNumberFormat="1" applyFont="1" applyFill="1" applyBorder="1"/>
    <xf numFmtId="0" fontId="9" fillId="0" borderId="0" xfId="0" applyFont="1" applyAlignment="1">
      <alignment horizontal="center"/>
    </xf>
    <xf numFmtId="0" fontId="6" fillId="11" borderId="4" xfId="0" applyFont="1" applyFill="1" applyBorder="1" applyAlignment="1">
      <alignment horizontal="center" textRotation="90" wrapText="1"/>
    </xf>
    <xf numFmtId="0" fontId="8" fillId="12" borderId="8" xfId="0" applyFont="1" applyFill="1" applyBorder="1" applyAlignment="1">
      <alignment horizontal="center"/>
    </xf>
    <xf numFmtId="0" fontId="8" fillId="13" borderId="8" xfId="0" applyFont="1" applyFill="1" applyBorder="1" applyAlignment="1">
      <alignment horizontal="center"/>
    </xf>
    <xf numFmtId="0" fontId="0" fillId="9" borderId="0" xfId="0" applyFill="1"/>
    <xf numFmtId="1" fontId="4" fillId="0" borderId="2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8" fillId="14" borderId="8" xfId="0" applyFont="1" applyFill="1" applyBorder="1" applyAlignment="1">
      <alignment horizontal="center"/>
    </xf>
    <xf numFmtId="0" fontId="8" fillId="15" borderId="8" xfId="0" applyFont="1" applyFill="1" applyBorder="1" applyAlignment="1">
      <alignment horizontal="center"/>
    </xf>
    <xf numFmtId="0" fontId="8" fillId="16" borderId="8" xfId="0" applyFont="1" applyFill="1" applyBorder="1" applyAlignment="1">
      <alignment horizontal="center"/>
    </xf>
    <xf numFmtId="0" fontId="12" fillId="17" borderId="8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8" fillId="18" borderId="8" xfId="0" applyFont="1" applyFill="1" applyBorder="1" applyAlignment="1">
      <alignment horizontal="center"/>
    </xf>
    <xf numFmtId="0" fontId="6" fillId="18" borderId="4" xfId="0" applyFont="1" applyFill="1" applyBorder="1" applyAlignment="1">
      <alignment horizontal="center" textRotation="90" wrapText="1"/>
    </xf>
    <xf numFmtId="164" fontId="6" fillId="18" borderId="2" xfId="0" applyNumberFormat="1" applyFont="1" applyFill="1" applyBorder="1"/>
    <xf numFmtId="0" fontId="8" fillId="19" borderId="8" xfId="0" applyFont="1" applyFill="1" applyBorder="1" applyAlignment="1">
      <alignment horizontal="center"/>
    </xf>
    <xf numFmtId="0" fontId="8" fillId="20" borderId="8" xfId="0" applyFont="1" applyFill="1" applyBorder="1" applyAlignment="1">
      <alignment horizontal="center"/>
    </xf>
    <xf numFmtId="164" fontId="0" fillId="0" borderId="0" xfId="0" applyNumberFormat="1"/>
    <xf numFmtId="3" fontId="6" fillId="11" borderId="2" xfId="0" applyNumberFormat="1" applyFont="1" applyFill="1" applyBorder="1"/>
    <xf numFmtId="0" fontId="7" fillId="6" borderId="14" xfId="0" applyFont="1" applyFill="1" applyBorder="1" applyAlignment="1">
      <alignment horizontal="center" vertical="center"/>
    </xf>
    <xf numFmtId="0" fontId="4" fillId="0" borderId="14" xfId="0" quotePrefix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5" fillId="6" borderId="14" xfId="0" applyNumberFormat="1" applyFont="1" applyFill="1" applyBorder="1"/>
    <xf numFmtId="164" fontId="7" fillId="7" borderId="14" xfId="0" applyNumberFormat="1" applyFont="1" applyFill="1" applyBorder="1"/>
    <xf numFmtId="164" fontId="4" fillId="8" borderId="14" xfId="0" applyNumberFormat="1" applyFont="1" applyFill="1" applyBorder="1"/>
    <xf numFmtId="164" fontId="4" fillId="10" borderId="14" xfId="0" applyNumberFormat="1" applyFont="1" applyFill="1" applyBorder="1"/>
    <xf numFmtId="0" fontId="0" fillId="9" borderId="14" xfId="0" applyFill="1" applyBorder="1"/>
    <xf numFmtId="164" fontId="6" fillId="11" borderId="14" xfId="0" applyNumberFormat="1" applyFont="1" applyFill="1" applyBorder="1"/>
    <xf numFmtId="164" fontId="6" fillId="18" borderId="14" xfId="0" applyNumberFormat="1" applyFont="1" applyFill="1" applyBorder="1"/>
    <xf numFmtId="0" fontId="7" fillId="6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5" fillId="6" borderId="1" xfId="0" applyNumberFormat="1" applyFont="1" applyFill="1" applyBorder="1"/>
    <xf numFmtId="164" fontId="7" fillId="7" borderId="1" xfId="0" applyNumberFormat="1" applyFont="1" applyFill="1" applyBorder="1"/>
    <xf numFmtId="164" fontId="4" fillId="8" borderId="1" xfId="0" applyNumberFormat="1" applyFont="1" applyFill="1" applyBorder="1"/>
    <xf numFmtId="164" fontId="4" fillId="10" borderId="1" xfId="0" applyNumberFormat="1" applyFont="1" applyFill="1" applyBorder="1"/>
    <xf numFmtId="0" fontId="0" fillId="9" borderId="1" xfId="0" applyFill="1" applyBorder="1"/>
    <xf numFmtId="164" fontId="6" fillId="11" borderId="1" xfId="0" applyNumberFormat="1" applyFont="1" applyFill="1" applyBorder="1"/>
    <xf numFmtId="164" fontId="6" fillId="18" borderId="1" xfId="0" applyNumberFormat="1" applyFont="1" applyFill="1" applyBorder="1"/>
    <xf numFmtId="0" fontId="9" fillId="0" borderId="2" xfId="0" applyFont="1" applyBorder="1" applyAlignment="1">
      <alignment horizontal="center"/>
    </xf>
    <xf numFmtId="0" fontId="0" fillId="21" borderId="2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21" borderId="2" xfId="0" applyNumberFormat="1" applyFill="1" applyBorder="1" applyAlignment="1">
      <alignment horizontal="center"/>
    </xf>
    <xf numFmtId="49" fontId="0" fillId="21" borderId="2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164" fontId="6" fillId="26" borderId="2" xfId="6" applyNumberFormat="1"/>
    <xf numFmtId="0" fontId="6" fillId="26" borderId="2" xfId="6"/>
    <xf numFmtId="0" fontId="5" fillId="0" borderId="0" xfId="0" applyFont="1"/>
    <xf numFmtId="14" fontId="0" fillId="0" borderId="0" xfId="0" applyNumberFormat="1"/>
    <xf numFmtId="0" fontId="6" fillId="26" borderId="2" xfId="6" applyAlignment="1">
      <alignment horizontal="center" textRotation="90" wrapText="1"/>
    </xf>
    <xf numFmtId="3" fontId="6" fillId="26" borderId="2" xfId="6" applyNumberFormat="1"/>
    <xf numFmtId="0" fontId="19" fillId="0" borderId="0" xfId="0" applyFont="1"/>
    <xf numFmtId="0" fontId="6" fillId="26" borderId="2" xfId="6" applyAlignment="1">
      <alignment horizontal="center" vertical="center"/>
    </xf>
    <xf numFmtId="0" fontId="4" fillId="0" borderId="0" xfId="0" applyFont="1"/>
    <xf numFmtId="0" fontId="19" fillId="0" borderId="0" xfId="0" applyFont="1" applyAlignment="1">
      <alignment horizontal="center"/>
    </xf>
    <xf numFmtId="14" fontId="19" fillId="0" borderId="0" xfId="0" applyNumberFormat="1" applyFont="1"/>
    <xf numFmtId="0" fontId="0" fillId="3" borderId="4" xfId="0" applyFill="1" applyBorder="1" applyAlignment="1">
      <alignment horizontal="center" vertical="center" textRotation="90"/>
    </xf>
    <xf numFmtId="0" fontId="6" fillId="11" borderId="2" xfId="0" applyFont="1" applyFill="1" applyBorder="1" applyAlignment="1">
      <alignment horizontal="center" textRotation="90" wrapText="1"/>
    </xf>
    <xf numFmtId="0" fontId="4" fillId="0" borderId="2" xfId="0" applyFont="1" applyBorder="1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textRotation="90" wrapText="1"/>
    </xf>
    <xf numFmtId="0" fontId="6" fillId="6" borderId="2" xfId="0" applyFont="1" applyFill="1" applyBorder="1" applyAlignment="1">
      <alignment horizontal="center" textRotation="90" wrapText="1"/>
    </xf>
    <xf numFmtId="0" fontId="6" fillId="7" borderId="2" xfId="0" applyFont="1" applyFill="1" applyBorder="1" applyAlignment="1">
      <alignment horizontal="center" textRotation="90" wrapText="1"/>
    </xf>
    <xf numFmtId="0" fontId="6" fillId="8" borderId="2" xfId="0" applyFont="1" applyFill="1" applyBorder="1" applyAlignment="1">
      <alignment horizontal="center" textRotation="90" wrapText="1"/>
    </xf>
    <xf numFmtId="0" fontId="6" fillId="10" borderId="2" xfId="0" applyFont="1" applyFill="1" applyBorder="1" applyAlignment="1">
      <alignment horizontal="center" textRotation="90" wrapText="1"/>
    </xf>
    <xf numFmtId="0" fontId="6" fillId="9" borderId="2" xfId="0" applyFont="1" applyFill="1" applyBorder="1" applyAlignment="1">
      <alignment horizontal="center" textRotation="90" wrapText="1"/>
    </xf>
    <xf numFmtId="0" fontId="8" fillId="20" borderId="20" xfId="0" applyFont="1" applyFill="1" applyBorder="1" applyAlignment="1">
      <alignment horizontal="center"/>
    </xf>
    <xf numFmtId="0" fontId="8" fillId="13" borderId="20" xfId="0" applyFont="1" applyFill="1" applyBorder="1" applyAlignment="1">
      <alignment horizontal="center"/>
    </xf>
    <xf numFmtId="0" fontId="8" fillId="19" borderId="20" xfId="0" applyFont="1" applyFill="1" applyBorder="1" applyAlignment="1">
      <alignment horizontal="center"/>
    </xf>
    <xf numFmtId="0" fontId="12" fillId="17" borderId="20" xfId="0" applyFont="1" applyFill="1" applyBorder="1" applyAlignment="1">
      <alignment horizontal="center"/>
    </xf>
    <xf numFmtId="0" fontId="8" fillId="16" borderId="20" xfId="0" applyFont="1" applyFill="1" applyBorder="1" applyAlignment="1">
      <alignment horizontal="center"/>
    </xf>
    <xf numFmtId="0" fontId="12" fillId="6" borderId="20" xfId="0" applyFont="1" applyFill="1" applyBorder="1" applyAlignment="1">
      <alignment horizontal="center"/>
    </xf>
    <xf numFmtId="0" fontId="8" fillId="12" borderId="20" xfId="0" applyFont="1" applyFill="1" applyBorder="1" applyAlignment="1">
      <alignment horizontal="center"/>
    </xf>
    <xf numFmtId="0" fontId="8" fillId="14" borderId="20" xfId="0" applyFont="1" applyFill="1" applyBorder="1" applyAlignment="1">
      <alignment horizontal="center"/>
    </xf>
    <xf numFmtId="0" fontId="8" fillId="15" borderId="20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textRotation="90" wrapText="1"/>
    </xf>
    <xf numFmtId="0" fontId="3" fillId="3" borderId="12" xfId="0" applyFont="1" applyFill="1" applyBorder="1" applyAlignment="1">
      <alignment horizontal="center" vertical="center"/>
    </xf>
    <xf numFmtId="0" fontId="6" fillId="29" borderId="1" xfId="0" applyFont="1" applyFill="1" applyBorder="1"/>
    <xf numFmtId="1" fontId="5" fillId="30" borderId="2" xfId="0" applyNumberFormat="1" applyFont="1" applyFill="1" applyBorder="1" applyAlignment="1">
      <alignment horizontal="center" vertical="center"/>
    </xf>
    <xf numFmtId="0" fontId="6" fillId="0" borderId="13" xfId="0" applyFont="1" applyBorder="1"/>
    <xf numFmtId="1" fontId="5" fillId="27" borderId="2" xfId="0" applyNumberFormat="1" applyFont="1" applyFill="1" applyBorder="1" applyAlignment="1">
      <alignment horizontal="center" vertical="center"/>
    </xf>
    <xf numFmtId="1" fontId="5" fillId="27" borderId="30" xfId="0" applyNumberFormat="1" applyFont="1" applyFill="1" applyBorder="1" applyAlignment="1">
      <alignment horizontal="center" vertical="center"/>
    </xf>
    <xf numFmtId="1" fontId="5" fillId="27" borderId="31" xfId="0" applyNumberFormat="1" applyFont="1" applyFill="1" applyBorder="1" applyAlignment="1">
      <alignment horizontal="center" vertical="center"/>
    </xf>
    <xf numFmtId="0" fontId="13" fillId="29" borderId="2" xfId="0" applyFont="1" applyFill="1" applyBorder="1" applyAlignment="1">
      <alignment horizontal="center"/>
    </xf>
    <xf numFmtId="0" fontId="13" fillId="28" borderId="2" xfId="0" applyFont="1" applyFill="1" applyBorder="1" applyAlignment="1">
      <alignment horizontal="center"/>
    </xf>
    <xf numFmtId="165" fontId="22" fillId="0" borderId="8" xfId="0" applyNumberFormat="1" applyFont="1" applyBorder="1" applyAlignment="1">
      <alignment horizontal="center"/>
    </xf>
    <xf numFmtId="0" fontId="6" fillId="31" borderId="13" xfId="0" applyFont="1" applyFill="1" applyBorder="1"/>
    <xf numFmtId="164" fontId="6" fillId="0" borderId="27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/>
    </xf>
    <xf numFmtId="164" fontId="6" fillId="33" borderId="2" xfId="0" applyNumberFormat="1" applyFont="1" applyFill="1" applyBorder="1" applyAlignment="1">
      <alignment horizontal="center" vertical="center"/>
    </xf>
    <xf numFmtId="0" fontId="0" fillId="33" borderId="0" xfId="0" applyFill="1"/>
    <xf numFmtId="165" fontId="13" fillId="33" borderId="2" xfId="0" applyNumberFormat="1" applyFont="1" applyFill="1" applyBorder="1" applyAlignment="1">
      <alignment horizontal="center" vertical="center"/>
    </xf>
    <xf numFmtId="164" fontId="6" fillId="33" borderId="25" xfId="0" applyNumberFormat="1" applyFont="1" applyFill="1" applyBorder="1" applyAlignment="1">
      <alignment horizontal="center" vertical="center"/>
    </xf>
    <xf numFmtId="164" fontId="6" fillId="33" borderId="33" xfId="0" applyNumberFormat="1" applyFont="1" applyFill="1" applyBorder="1" applyAlignment="1">
      <alignment horizontal="center" vertical="center"/>
    </xf>
    <xf numFmtId="164" fontId="6" fillId="33" borderId="35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1" fontId="5" fillId="30" borderId="3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64" fontId="6" fillId="11" borderId="2" xfId="0" applyNumberFormat="1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6" fillId="31" borderId="2" xfId="0" applyFont="1" applyFill="1" applyBorder="1" applyAlignment="1">
      <alignment vertical="center"/>
    </xf>
    <xf numFmtId="164" fontId="6" fillId="31" borderId="2" xfId="0" applyNumberFormat="1" applyFont="1" applyFill="1" applyBorder="1" applyAlignment="1">
      <alignment vertical="center"/>
    </xf>
    <xf numFmtId="0" fontId="0" fillId="31" borderId="2" xfId="0" applyFill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6" fillId="32" borderId="13" xfId="0" applyFont="1" applyFill="1" applyBorder="1" applyAlignment="1">
      <alignment vertical="center"/>
    </xf>
    <xf numFmtId="0" fontId="6" fillId="32" borderId="2" xfId="0" applyFont="1" applyFill="1" applyBorder="1" applyAlignment="1">
      <alignment vertical="center"/>
    </xf>
    <xf numFmtId="164" fontId="6" fillId="32" borderId="2" xfId="0" applyNumberFormat="1" applyFont="1" applyFill="1" applyBorder="1" applyAlignment="1">
      <alignment vertical="center"/>
    </xf>
    <xf numFmtId="0" fontId="5" fillId="2" borderId="3" xfId="0" applyFont="1" applyFill="1" applyBorder="1"/>
    <xf numFmtId="0" fontId="5" fillId="2" borderId="0" xfId="0" applyFont="1" applyFill="1"/>
    <xf numFmtId="0" fontId="5" fillId="0" borderId="1" xfId="0" applyFont="1" applyBorder="1" applyAlignment="1">
      <alignment horizontal="center"/>
    </xf>
    <xf numFmtId="1" fontId="5" fillId="26" borderId="30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31" borderId="25" xfId="0" applyFont="1" applyFill="1" applyBorder="1" applyAlignment="1">
      <alignment horizontal="center" vertical="center"/>
    </xf>
    <xf numFmtId="0" fontId="6" fillId="31" borderId="26" xfId="0" applyFont="1" applyFill="1" applyBorder="1" applyAlignment="1">
      <alignment horizontal="center" vertical="center"/>
    </xf>
    <xf numFmtId="0" fontId="6" fillId="31" borderId="27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30" borderId="5" xfId="0" applyFont="1" applyFill="1" applyBorder="1" applyAlignment="1">
      <alignment horizontal="center"/>
    </xf>
    <xf numFmtId="0" fontId="7" fillId="30" borderId="7" xfId="0" applyFont="1" applyFill="1" applyBorder="1" applyAlignment="1">
      <alignment horizontal="center"/>
    </xf>
    <xf numFmtId="0" fontId="7" fillId="27" borderId="5" xfId="0" applyFont="1" applyFill="1" applyBorder="1" applyAlignment="1">
      <alignment horizontal="center"/>
    </xf>
    <xf numFmtId="0" fontId="7" fillId="27" borderId="7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6" fillId="29" borderId="28" xfId="0" applyFont="1" applyFill="1" applyBorder="1" applyAlignment="1">
      <alignment horizontal="center"/>
    </xf>
    <xf numFmtId="0" fontId="6" fillId="29" borderId="26" xfId="0" applyFont="1" applyFill="1" applyBorder="1" applyAlignment="1">
      <alignment horizontal="center"/>
    </xf>
    <xf numFmtId="0" fontId="6" fillId="29" borderId="11" xfId="0" applyFont="1" applyFill="1" applyBorder="1" applyAlignment="1">
      <alignment horizontal="center"/>
    </xf>
    <xf numFmtId="0" fontId="6" fillId="29" borderId="21" xfId="0" applyFont="1" applyFill="1" applyBorder="1" applyAlignment="1">
      <alignment horizontal="center"/>
    </xf>
    <xf numFmtId="0" fontId="6" fillId="29" borderId="13" xfId="0" applyFont="1" applyFill="1" applyBorder="1" applyAlignment="1">
      <alignment horizontal="center"/>
    </xf>
    <xf numFmtId="0" fontId="21" fillId="28" borderId="25" xfId="0" applyFont="1" applyFill="1" applyBorder="1" applyAlignment="1">
      <alignment horizontal="center"/>
    </xf>
    <xf numFmtId="0" fontId="21" fillId="28" borderId="27" xfId="0" applyFont="1" applyFill="1" applyBorder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0" borderId="21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0" fontId="20" fillId="8" borderId="18" xfId="0" applyFont="1" applyFill="1" applyBorder="1" applyAlignment="1">
      <alignment horizontal="center" vertical="center"/>
    </xf>
    <xf numFmtId="0" fontId="20" fillId="8" borderId="19" xfId="0" applyFont="1" applyFill="1" applyBorder="1" applyAlignment="1">
      <alignment horizontal="center" vertical="center"/>
    </xf>
    <xf numFmtId="0" fontId="20" fillId="8" borderId="22" xfId="0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0" fontId="20" fillId="8" borderId="24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7" fillId="26" borderId="5" xfId="0" applyFont="1" applyFill="1" applyBorder="1" applyAlignment="1">
      <alignment horizontal="center"/>
    </xf>
    <xf numFmtId="0" fontId="7" fillId="26" borderId="7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0" fillId="0" borderId="0" xfId="0"/>
  </cellXfs>
  <cellStyles count="7">
    <cellStyle name="Calcolo" xfId="4" builtinId="22" hidden="1"/>
    <cellStyle name="Cella collegata" xfId="5" builtinId="24" hidden="1"/>
    <cellStyle name="Modificata" xfId="6" xr:uid="{A679FEF0-8ED8-4BC9-97A2-91D9FFD8A318}"/>
    <cellStyle name="Neutrale" xfId="3" builtinId="28" hidden="1" customBuiltin="1"/>
    <cellStyle name="Normale" xfId="0" builtinId="0"/>
    <cellStyle name="Valore non valido" xfId="2" builtinId="27" hidden="1"/>
    <cellStyle name="Valore valido" xfId="1" builtinId="26" hidden="1"/>
  </cellStyles>
  <dxfs count="7"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  <dxf>
      <numFmt numFmtId="166" formatCode=";;;"/>
    </dxf>
  </dxfs>
  <tableStyles count="0" defaultTableStyle="TableStyleMedium2" defaultPivotStyle="PivotStyleLight16"/>
  <colors>
    <mruColors>
      <color rgb="FFB3DCFD"/>
      <color rgb="FFFAF0B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workbookViewId="0">
      <selection activeCell="B13" sqref="B13"/>
    </sheetView>
  </sheetViews>
  <sheetFormatPr defaultRowHeight="15" x14ac:dyDescent="0.25"/>
  <cols>
    <col min="1" max="1" width="55.42578125" customWidth="1"/>
    <col min="2" max="2" width="8.7109375" customWidth="1"/>
    <col min="5" max="5" width="22.5703125" bestFit="1" customWidth="1"/>
    <col min="6" max="6" width="83.28515625" customWidth="1"/>
    <col min="8" max="8" width="19.42578125" customWidth="1"/>
  </cols>
  <sheetData>
    <row r="1" spans="1:6" x14ac:dyDescent="0.25">
      <c r="A1" s="152" t="s">
        <v>0</v>
      </c>
      <c r="B1" s="152"/>
      <c r="E1" s="148" t="s">
        <v>378</v>
      </c>
      <c r="F1" s="149"/>
    </row>
    <row r="2" spans="1:6" x14ac:dyDescent="0.25">
      <c r="E2" s="85"/>
    </row>
    <row r="3" spans="1:6" x14ac:dyDescent="0.25">
      <c r="A3" s="5" t="s">
        <v>1</v>
      </c>
      <c r="B3" s="8">
        <v>37</v>
      </c>
      <c r="E3" s="5" t="s">
        <v>367</v>
      </c>
      <c r="F3" s="5" t="s">
        <v>382</v>
      </c>
    </row>
    <row r="4" spans="1:6" x14ac:dyDescent="0.25">
      <c r="A4" s="5" t="s">
        <v>2</v>
      </c>
      <c r="B4" s="8">
        <v>38</v>
      </c>
      <c r="E4" s="5" t="s">
        <v>379</v>
      </c>
      <c r="F4" s="5" t="s">
        <v>383</v>
      </c>
    </row>
    <row r="5" spans="1:6" x14ac:dyDescent="0.25">
      <c r="A5" s="5" t="s">
        <v>3</v>
      </c>
      <c r="B5" s="8">
        <v>29</v>
      </c>
      <c r="E5" s="5" t="s">
        <v>385</v>
      </c>
      <c r="F5" s="5" t="s">
        <v>384</v>
      </c>
    </row>
    <row r="6" spans="1:6" x14ac:dyDescent="0.25">
      <c r="A6" s="5" t="s">
        <v>4</v>
      </c>
      <c r="B6" s="8">
        <v>29</v>
      </c>
      <c r="E6" s="5"/>
      <c r="F6" s="5"/>
    </row>
    <row r="7" spans="1:6" x14ac:dyDescent="0.25">
      <c r="A7" s="5" t="s">
        <v>5</v>
      </c>
      <c r="B7" s="8">
        <v>38</v>
      </c>
      <c r="E7" s="5"/>
      <c r="F7" s="5"/>
    </row>
    <row r="60" ht="16.5" customHeight="1" x14ac:dyDescent="0.25"/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DAB4-26D2-4D25-81CF-83F93E2DCDB2}">
  <dimension ref="A1:D29"/>
  <sheetViews>
    <sheetView workbookViewId="0">
      <selection activeCell="D34" sqref="D34"/>
    </sheetView>
  </sheetViews>
  <sheetFormatPr defaultColWidth="8.7109375" defaultRowHeight="15" x14ac:dyDescent="0.25"/>
  <cols>
    <col min="1" max="1" width="20.85546875" customWidth="1"/>
    <col min="2" max="2" width="9.5703125" style="79" bestFit="1" customWidth="1"/>
    <col min="3" max="3" width="20.85546875" style="80" customWidth="1"/>
    <col min="4" max="4" width="192.85546875" customWidth="1"/>
  </cols>
  <sheetData>
    <row r="1" spans="1:4" x14ac:dyDescent="0.25">
      <c r="A1" s="152" t="s">
        <v>6</v>
      </c>
      <c r="B1" s="152"/>
      <c r="C1" s="152"/>
      <c r="D1" s="152"/>
    </row>
    <row r="2" spans="1:4" x14ac:dyDescent="0.25">
      <c r="A2" s="75" t="s">
        <v>281</v>
      </c>
      <c r="B2" s="78" t="s">
        <v>7</v>
      </c>
      <c r="C2" s="77" t="s">
        <v>282</v>
      </c>
      <c r="D2" s="75" t="s">
        <v>8</v>
      </c>
    </row>
    <row r="3" spans="1:4" x14ac:dyDescent="0.25">
      <c r="A3" s="5" t="s">
        <v>9</v>
      </c>
      <c r="B3" s="81"/>
      <c r="C3" s="76"/>
      <c r="D3" s="8" t="s">
        <v>10</v>
      </c>
    </row>
    <row r="4" spans="1:4" s="88" customFormat="1" x14ac:dyDescent="0.25">
      <c r="A4" s="88" t="s">
        <v>11</v>
      </c>
      <c r="B4" s="91" t="s">
        <v>291</v>
      </c>
      <c r="C4" s="92">
        <v>44704</v>
      </c>
      <c r="D4" s="88" t="s">
        <v>295</v>
      </c>
    </row>
    <row r="5" spans="1:4" s="88" customFormat="1" x14ac:dyDescent="0.25">
      <c r="A5" s="88" t="s">
        <v>11</v>
      </c>
      <c r="B5" s="91" t="s">
        <v>283</v>
      </c>
      <c r="C5" s="92">
        <v>44706</v>
      </c>
      <c r="D5" s="88" t="s">
        <v>292</v>
      </c>
    </row>
    <row r="6" spans="1:4" s="88" customFormat="1" x14ac:dyDescent="0.25">
      <c r="A6" s="88" t="s">
        <v>11</v>
      </c>
      <c r="B6" s="91" t="s">
        <v>284</v>
      </c>
      <c r="C6" s="92">
        <v>44708</v>
      </c>
      <c r="D6" s="88" t="s">
        <v>285</v>
      </c>
    </row>
    <row r="7" spans="1:4" s="88" customFormat="1" x14ac:dyDescent="0.25">
      <c r="A7" s="88" t="s">
        <v>11</v>
      </c>
      <c r="B7" s="91" t="s">
        <v>286</v>
      </c>
      <c r="C7" s="92">
        <v>44708</v>
      </c>
      <c r="D7" s="88" t="s">
        <v>287</v>
      </c>
    </row>
    <row r="8" spans="1:4" s="88" customFormat="1" x14ac:dyDescent="0.25">
      <c r="A8" s="88" t="s">
        <v>11</v>
      </c>
      <c r="B8" s="91" t="s">
        <v>288</v>
      </c>
      <c r="C8" s="92">
        <v>44708</v>
      </c>
      <c r="D8" s="88" t="s">
        <v>289</v>
      </c>
    </row>
    <row r="9" spans="1:4" s="88" customFormat="1" x14ac:dyDescent="0.25">
      <c r="A9" s="88" t="s">
        <v>11</v>
      </c>
      <c r="B9" s="91" t="s">
        <v>296</v>
      </c>
      <c r="C9" s="92">
        <v>44726</v>
      </c>
      <c r="D9" s="88" t="s">
        <v>297</v>
      </c>
    </row>
    <row r="10" spans="1:4" s="88" customFormat="1" x14ac:dyDescent="0.25">
      <c r="A10" s="88" t="s">
        <v>11</v>
      </c>
      <c r="B10" s="91" t="s">
        <v>299</v>
      </c>
      <c r="C10" s="92">
        <v>44732</v>
      </c>
      <c r="D10" s="88" t="s">
        <v>300</v>
      </c>
    </row>
    <row r="11" spans="1:4" s="88" customFormat="1" x14ac:dyDescent="0.25">
      <c r="A11" s="88" t="s">
        <v>11</v>
      </c>
      <c r="B11" s="91" t="s">
        <v>304</v>
      </c>
      <c r="C11" s="92">
        <v>44748</v>
      </c>
      <c r="D11" s="88" t="s">
        <v>305</v>
      </c>
    </row>
    <row r="12" spans="1:4" s="88" customFormat="1" x14ac:dyDescent="0.25">
      <c r="A12" s="88" t="s">
        <v>11</v>
      </c>
      <c r="B12" s="91" t="s">
        <v>306</v>
      </c>
      <c r="C12" s="92">
        <v>44748</v>
      </c>
      <c r="D12" s="88" t="s">
        <v>307</v>
      </c>
    </row>
    <row r="13" spans="1:4" s="88" customFormat="1" x14ac:dyDescent="0.25">
      <c r="A13" s="88" t="s">
        <v>308</v>
      </c>
      <c r="B13" s="91" t="s">
        <v>309</v>
      </c>
      <c r="C13" s="92">
        <v>44776</v>
      </c>
      <c r="D13" s="88" t="s">
        <v>310</v>
      </c>
    </row>
    <row r="14" spans="1:4" s="88" customFormat="1" x14ac:dyDescent="0.25">
      <c r="A14" s="88" t="s">
        <v>11</v>
      </c>
      <c r="B14" s="91" t="s">
        <v>312</v>
      </c>
      <c r="C14" s="92">
        <v>44805</v>
      </c>
      <c r="D14" s="88" t="s">
        <v>313</v>
      </c>
    </row>
    <row r="15" spans="1:4" s="88" customFormat="1" x14ac:dyDescent="0.25">
      <c r="A15" s="88" t="s">
        <v>11</v>
      </c>
      <c r="B15" s="91" t="s">
        <v>314</v>
      </c>
      <c r="C15" s="92">
        <v>44888</v>
      </c>
      <c r="D15" s="88" t="s">
        <v>315</v>
      </c>
    </row>
    <row r="16" spans="1:4" s="88" customFormat="1" x14ac:dyDescent="0.25">
      <c r="A16" s="88" t="s">
        <v>322</v>
      </c>
      <c r="B16" s="91" t="s">
        <v>319</v>
      </c>
      <c r="C16" s="92">
        <v>44888</v>
      </c>
      <c r="D16" s="88" t="s">
        <v>317</v>
      </c>
    </row>
    <row r="17" spans="1:4" s="88" customFormat="1" x14ac:dyDescent="0.25">
      <c r="A17" s="88" t="s">
        <v>323</v>
      </c>
      <c r="B17" s="91" t="s">
        <v>320</v>
      </c>
      <c r="C17" s="92">
        <v>44888</v>
      </c>
      <c r="D17" s="88" t="s">
        <v>321</v>
      </c>
    </row>
    <row r="18" spans="1:4" s="88" customFormat="1" x14ac:dyDescent="0.25">
      <c r="A18" s="88" t="s">
        <v>323</v>
      </c>
      <c r="B18" s="91" t="s">
        <v>325</v>
      </c>
      <c r="C18" s="92">
        <v>44888</v>
      </c>
      <c r="D18" s="88" t="s">
        <v>324</v>
      </c>
    </row>
    <row r="19" spans="1:4" x14ac:dyDescent="0.25">
      <c r="A19" s="88" t="s">
        <v>329</v>
      </c>
      <c r="B19" s="91"/>
      <c r="C19" s="92"/>
      <c r="D19" s="88" t="s">
        <v>330</v>
      </c>
    </row>
    <row r="20" spans="1:4" x14ac:dyDescent="0.25">
      <c r="A20" s="88"/>
      <c r="B20" s="91"/>
      <c r="C20" s="92"/>
      <c r="D20" s="88"/>
    </row>
    <row r="21" spans="1:4" x14ac:dyDescent="0.25">
      <c r="A21" s="88" t="s">
        <v>334</v>
      </c>
      <c r="B21" s="91" t="s">
        <v>283</v>
      </c>
      <c r="C21" s="92">
        <v>45027</v>
      </c>
      <c r="D21" s="88" t="s">
        <v>335</v>
      </c>
    </row>
    <row r="22" spans="1:4" x14ac:dyDescent="0.25">
      <c r="A22" s="88" t="s">
        <v>343</v>
      </c>
      <c r="B22" s="91" t="s">
        <v>284</v>
      </c>
      <c r="C22" s="92">
        <v>45272</v>
      </c>
      <c r="D22" s="88" t="s">
        <v>349</v>
      </c>
    </row>
    <row r="23" spans="1:4" x14ac:dyDescent="0.25">
      <c r="A23" s="88" t="s">
        <v>343</v>
      </c>
      <c r="B23" s="91" t="s">
        <v>286</v>
      </c>
      <c r="C23" s="92">
        <v>45272</v>
      </c>
      <c r="D23" s="88" t="s">
        <v>342</v>
      </c>
    </row>
    <row r="24" spans="1:4" x14ac:dyDescent="0.25">
      <c r="A24" s="88" t="s">
        <v>343</v>
      </c>
      <c r="B24" s="91" t="s">
        <v>288</v>
      </c>
      <c r="C24" s="92">
        <v>45272</v>
      </c>
      <c r="D24" s="88" t="s">
        <v>346</v>
      </c>
    </row>
    <row r="25" spans="1:4" x14ac:dyDescent="0.25">
      <c r="A25" s="90"/>
      <c r="D25" s="90"/>
    </row>
    <row r="26" spans="1:4" x14ac:dyDescent="0.25">
      <c r="A26" s="5" t="s">
        <v>352</v>
      </c>
      <c r="B26" s="81"/>
      <c r="C26" s="76"/>
      <c r="D26" s="8" t="s">
        <v>351</v>
      </c>
    </row>
    <row r="27" spans="1:4" x14ac:dyDescent="0.25">
      <c r="A27" s="95" t="s">
        <v>352</v>
      </c>
      <c r="B27" s="81" t="s">
        <v>283</v>
      </c>
      <c r="C27" s="76">
        <v>45331</v>
      </c>
      <c r="D27" s="8" t="s">
        <v>353</v>
      </c>
    </row>
    <row r="28" spans="1:4" x14ac:dyDescent="0.25">
      <c r="A28" s="95" t="s">
        <v>352</v>
      </c>
      <c r="B28" s="81" t="s">
        <v>284</v>
      </c>
      <c r="C28" s="76">
        <v>45484</v>
      </c>
      <c r="D28" s="5" t="s">
        <v>354</v>
      </c>
    </row>
    <row r="29" spans="1:4" x14ac:dyDescent="0.25">
      <c r="A29" s="95" t="s">
        <v>352</v>
      </c>
      <c r="B29" s="81" t="s">
        <v>286</v>
      </c>
      <c r="C29" s="76">
        <v>45503</v>
      </c>
      <c r="D29" s="5" t="s">
        <v>360</v>
      </c>
    </row>
  </sheetData>
  <sheetProtection algorithmName="SHA-512" hashValue="fNuUj3mxgDtjoGg+eOOcfKLlrmRxMDYp3OyitAcQSr8bSFX3jqRk9IpXk3irN8XZMEIEqkw5Zbzm3YES9u4IxA==" saltValue="atXSz/p8yoNlGHbjuwSelw==" spinCount="100000" sheet="1" objects="1" scenarios="1"/>
  <mergeCells count="1">
    <mergeCell ref="A1:D1"/>
  </mergeCells>
  <phoneticPr fontId="10" type="noConversion"/>
  <pageMargins left="0.7" right="0.7" top="0.75" bottom="0.75" header="0.3" footer="0.3"/>
  <pageSetup paperSize="9" orientation="portrait" r:id="rId1"/>
  <ignoredErrors>
    <ignoredError sqref="B4:B18 B21:B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77"/>
  <sheetViews>
    <sheetView tabSelected="1" topLeftCell="A34" zoomScaleNormal="100" workbookViewId="0">
      <selection activeCell="A37" sqref="A37"/>
    </sheetView>
  </sheetViews>
  <sheetFormatPr defaultRowHeight="15" x14ac:dyDescent="0.25"/>
  <cols>
    <col min="1" max="1" width="8.140625" customWidth="1"/>
    <col min="2" max="2" width="18.7109375" customWidth="1"/>
    <col min="3" max="3" width="23.5703125" customWidth="1"/>
    <col min="4" max="4" width="22" bestFit="1" customWidth="1"/>
    <col min="5" max="5" width="13.85546875" bestFit="1" customWidth="1"/>
    <col min="6" max="6" width="11.5703125" bestFit="1" customWidth="1"/>
    <col min="7" max="7" width="44.5703125" customWidth="1"/>
    <col min="8" max="8" width="16.85546875" bestFit="1" customWidth="1"/>
    <col min="9" max="9" width="5.42578125" customWidth="1"/>
    <col min="10" max="10" width="6.28515625" customWidth="1"/>
    <col min="11" max="15" width="5.7109375" customWidth="1"/>
    <col min="16" max="16" width="15.85546875" customWidth="1"/>
    <col min="17" max="17" width="15.7109375" customWidth="1"/>
    <col min="18" max="18" width="14.5703125" bestFit="1" customWidth="1"/>
    <col min="19" max="19" width="15.42578125" bestFit="1" customWidth="1"/>
    <col min="20" max="20" width="25.28515625" bestFit="1" customWidth="1"/>
    <col min="21" max="22" width="14" bestFit="1" customWidth="1"/>
    <col min="23" max="23" width="12.140625" bestFit="1" customWidth="1"/>
    <col min="24" max="24" width="12.85546875" bestFit="1" customWidth="1"/>
    <col min="25" max="25" width="12.85546875" customWidth="1"/>
    <col min="26" max="26" width="13" customWidth="1"/>
    <col min="27" max="27" width="13.28515625" customWidth="1"/>
    <col min="28" max="34" width="11.5703125" customWidth="1"/>
    <col min="35" max="36" width="12.42578125" customWidth="1"/>
    <col min="37" max="37" width="11.5703125" customWidth="1"/>
    <col min="38" max="40" width="13.28515625" customWidth="1"/>
    <col min="41" max="43" width="13.28515625" style="84" customWidth="1"/>
    <col min="44" max="46" width="11.5703125" customWidth="1"/>
    <col min="47" max="49" width="13.28515625" customWidth="1"/>
    <col min="50" max="52" width="13.28515625" style="84" customWidth="1"/>
    <col min="53" max="53" width="11.5703125" customWidth="1"/>
    <col min="54" max="54" width="1.5703125" customWidth="1"/>
    <col min="55" max="58" width="11.5703125" customWidth="1"/>
    <col min="59" max="59" width="1.5703125" customWidth="1"/>
    <col min="60" max="61" width="12.85546875" bestFit="1" customWidth="1"/>
  </cols>
  <sheetData>
    <row r="1" spans="1:61" ht="21.75" thickBot="1" x14ac:dyDescent="0.35">
      <c r="B1" s="153" t="s">
        <v>12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X1" s="103" t="s">
        <v>13</v>
      </c>
      <c r="Y1" s="103" t="s">
        <v>13</v>
      </c>
      <c r="Z1" s="104" t="s">
        <v>13</v>
      </c>
      <c r="AA1" s="104" t="s">
        <v>13</v>
      </c>
      <c r="AB1" s="105" t="s">
        <v>13</v>
      </c>
      <c r="AC1" s="105" t="s">
        <v>13</v>
      </c>
      <c r="AD1" s="106" t="s">
        <v>13</v>
      </c>
      <c r="AE1" s="107" t="s">
        <v>13</v>
      </c>
      <c r="AF1" s="107" t="s">
        <v>13</v>
      </c>
      <c r="AG1" s="107" t="s">
        <v>13</v>
      </c>
      <c r="AH1" s="107" t="s">
        <v>13</v>
      </c>
      <c r="AI1" s="106" t="s">
        <v>13</v>
      </c>
      <c r="AJ1" s="106" t="s">
        <v>13</v>
      </c>
      <c r="AK1" s="108" t="s">
        <v>13</v>
      </c>
      <c r="AL1" s="108" t="s">
        <v>13</v>
      </c>
      <c r="AM1" s="108" t="s">
        <v>13</v>
      </c>
      <c r="AN1" s="108" t="s">
        <v>13</v>
      </c>
      <c r="AO1" s="108" t="s">
        <v>13</v>
      </c>
      <c r="AP1" s="108" t="s">
        <v>13</v>
      </c>
      <c r="AQ1" s="108" t="s">
        <v>13</v>
      </c>
      <c r="AR1" s="108" t="s">
        <v>13</v>
      </c>
      <c r="AS1" s="109" t="s">
        <v>13</v>
      </c>
      <c r="AT1" s="108" t="s">
        <v>13</v>
      </c>
      <c r="AU1" s="108" t="s">
        <v>13</v>
      </c>
      <c r="AV1" s="108" t="s">
        <v>13</v>
      </c>
      <c r="AW1" s="108" t="s">
        <v>13</v>
      </c>
      <c r="AX1" s="108" t="s">
        <v>13</v>
      </c>
      <c r="AY1" s="108" t="s">
        <v>13</v>
      </c>
      <c r="AZ1" s="108" t="s">
        <v>13</v>
      </c>
      <c r="BA1" s="108" t="s">
        <v>13</v>
      </c>
      <c r="BB1" s="47"/>
      <c r="BC1" s="110" t="s">
        <v>13</v>
      </c>
      <c r="BD1" s="110" t="s">
        <v>13</v>
      </c>
      <c r="BE1" s="110" t="s">
        <v>13</v>
      </c>
      <c r="BF1" s="110" t="s">
        <v>13</v>
      </c>
      <c r="BG1" s="47"/>
      <c r="BH1" s="111" t="s">
        <v>13</v>
      </c>
      <c r="BI1" s="111" t="s">
        <v>13</v>
      </c>
    </row>
    <row r="2" spans="1:61" s="6" customFormat="1" ht="200.25" customHeight="1" x14ac:dyDescent="0.25">
      <c r="A2" s="96" t="s">
        <v>362</v>
      </c>
      <c r="B2" s="96" t="s">
        <v>14</v>
      </c>
      <c r="C2" s="96" t="s">
        <v>15</v>
      </c>
      <c r="D2" s="96" t="s">
        <v>16</v>
      </c>
      <c r="E2" s="96" t="s">
        <v>17</v>
      </c>
      <c r="F2" s="96" t="s">
        <v>18</v>
      </c>
      <c r="G2" s="96" t="s">
        <v>19</v>
      </c>
      <c r="H2" s="96" t="s">
        <v>20</v>
      </c>
      <c r="I2" s="96"/>
      <c r="J2" s="97" t="s">
        <v>21</v>
      </c>
      <c r="K2" s="97" t="s">
        <v>22</v>
      </c>
      <c r="L2" s="97" t="s">
        <v>23</v>
      </c>
      <c r="M2" s="97" t="s">
        <v>24</v>
      </c>
      <c r="N2" s="97" t="s">
        <v>25</v>
      </c>
      <c r="O2" s="97" t="s">
        <v>26</v>
      </c>
      <c r="P2" s="98" t="s">
        <v>27</v>
      </c>
      <c r="Q2" s="99" t="s">
        <v>28</v>
      </c>
      <c r="R2" s="100" t="s">
        <v>29</v>
      </c>
      <c r="S2" s="101" t="s">
        <v>30</v>
      </c>
      <c r="T2" s="102" t="s">
        <v>301</v>
      </c>
      <c r="U2" s="94" t="s">
        <v>31</v>
      </c>
      <c r="V2" s="94" t="s">
        <v>32</v>
      </c>
      <c r="W2"/>
      <c r="X2" s="94" t="s">
        <v>356</v>
      </c>
      <c r="Y2" s="94" t="s">
        <v>34</v>
      </c>
      <c r="Z2" s="94" t="s">
        <v>35</v>
      </c>
      <c r="AA2" s="94" t="s">
        <v>36</v>
      </c>
      <c r="AB2" s="94" t="s">
        <v>37</v>
      </c>
      <c r="AC2" s="94" t="s">
        <v>318</v>
      </c>
      <c r="AD2" s="94" t="s">
        <v>38</v>
      </c>
      <c r="AE2" s="94" t="s">
        <v>39</v>
      </c>
      <c r="AF2" s="94" t="s">
        <v>40</v>
      </c>
      <c r="AG2" s="94" t="s">
        <v>41</v>
      </c>
      <c r="AH2" s="94" t="s">
        <v>42</v>
      </c>
      <c r="AI2" s="94" t="s">
        <v>43</v>
      </c>
      <c r="AJ2" s="94" t="s">
        <v>326</v>
      </c>
      <c r="AK2" s="94" t="s">
        <v>44</v>
      </c>
      <c r="AL2" s="94" t="s">
        <v>45</v>
      </c>
      <c r="AM2" s="94" t="s">
        <v>358</v>
      </c>
      <c r="AN2" s="94" t="s">
        <v>359</v>
      </c>
      <c r="AO2" s="94" t="s">
        <v>298</v>
      </c>
      <c r="AP2" s="94" t="s">
        <v>302</v>
      </c>
      <c r="AQ2" s="94" t="s">
        <v>357</v>
      </c>
      <c r="AR2" s="94" t="s">
        <v>46</v>
      </c>
      <c r="AS2" s="94" t="s">
        <v>47</v>
      </c>
      <c r="AT2" s="94" t="s">
        <v>44</v>
      </c>
      <c r="AU2" s="94" t="s">
        <v>376</v>
      </c>
      <c r="AV2" s="94" t="s">
        <v>376</v>
      </c>
      <c r="AW2" s="94" t="s">
        <v>376</v>
      </c>
      <c r="AX2" s="94" t="s">
        <v>376</v>
      </c>
      <c r="AY2" s="94" t="s">
        <v>376</v>
      </c>
      <c r="AZ2" s="94" t="s">
        <v>376</v>
      </c>
      <c r="BA2" s="94" t="s">
        <v>376</v>
      </c>
      <c r="BB2" s="49"/>
      <c r="BC2" s="94" t="s">
        <v>48</v>
      </c>
      <c r="BD2" s="94" t="s">
        <v>49</v>
      </c>
      <c r="BE2" s="94" t="s">
        <v>50</v>
      </c>
      <c r="BF2" s="94" t="s">
        <v>51</v>
      </c>
      <c r="BG2" s="49"/>
      <c r="BH2" s="94" t="s">
        <v>52</v>
      </c>
      <c r="BI2" s="94" t="s">
        <v>53</v>
      </c>
    </row>
    <row r="3" spans="1:61" ht="19.5" customHeight="1" x14ac:dyDescent="0.25">
      <c r="X3" s="117">
        <v>1</v>
      </c>
      <c r="Y3" s="117">
        <v>2</v>
      </c>
      <c r="Z3" s="117">
        <v>3</v>
      </c>
      <c r="AA3" s="117">
        <v>4</v>
      </c>
      <c r="AB3" s="117">
        <v>5</v>
      </c>
      <c r="AC3" s="117">
        <v>6</v>
      </c>
      <c r="AD3" s="117">
        <v>7</v>
      </c>
      <c r="AE3" s="117">
        <v>8</v>
      </c>
      <c r="AF3" s="117">
        <v>9</v>
      </c>
      <c r="AG3" s="117">
        <v>10</v>
      </c>
      <c r="AH3" s="117">
        <v>11</v>
      </c>
      <c r="AI3" s="117">
        <v>12</v>
      </c>
      <c r="AJ3" s="117">
        <v>13</v>
      </c>
      <c r="AK3" s="117">
        <v>14</v>
      </c>
      <c r="AL3" s="117">
        <v>15</v>
      </c>
      <c r="AM3" s="117">
        <v>16</v>
      </c>
      <c r="AN3" s="117">
        <v>17</v>
      </c>
      <c r="AO3" s="117">
        <v>18</v>
      </c>
      <c r="AP3" s="117">
        <v>19</v>
      </c>
      <c r="AQ3" s="117">
        <v>20</v>
      </c>
      <c r="AR3" s="117">
        <v>21</v>
      </c>
      <c r="AS3" s="117">
        <v>22</v>
      </c>
      <c r="AT3" s="117">
        <v>23</v>
      </c>
      <c r="AU3" s="117">
        <v>24</v>
      </c>
      <c r="AV3" s="117">
        <v>25</v>
      </c>
      <c r="AW3" s="117">
        <v>26</v>
      </c>
      <c r="AX3" s="117">
        <v>27</v>
      </c>
      <c r="AY3" s="117">
        <v>28</v>
      </c>
      <c r="AZ3" s="117">
        <v>29</v>
      </c>
      <c r="BA3" s="117">
        <v>30</v>
      </c>
      <c r="BB3" s="49"/>
      <c r="BG3" s="49"/>
    </row>
    <row r="4" spans="1:61" ht="20.25" customHeight="1" x14ac:dyDescent="0.35">
      <c r="A4" s="115">
        <v>1</v>
      </c>
      <c r="B4" s="11">
        <v>500</v>
      </c>
      <c r="C4" s="19" t="s">
        <v>54</v>
      </c>
      <c r="D4" s="19" t="s">
        <v>54</v>
      </c>
      <c r="E4" s="19" t="s">
        <v>54</v>
      </c>
      <c r="F4" s="19"/>
      <c r="G4" s="19" t="s">
        <v>54</v>
      </c>
      <c r="H4" s="19" t="s">
        <v>54</v>
      </c>
      <c r="I4" s="19"/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4">
        <f>(VALORI!B$3 * 'PASTA CORTA - ECOSYSTEM'!J4) + (VALORI!B$4 * 'PASTA CORTA - ECOSYSTEM'!K4) + (VALORI!B$4 * 'PASTA CORTA - ECOSYSTEM'!L4) + (VALORI!B$5 * 'PASTA CORTA - ECOSYSTEM'!M4) + (VALORI!B$6 * 'PASTA CORTA - ECOSYSTEM'!N4) + (VALORI!B$7 * 'PASTA CORTA - ECOSYSTEM'!O4)</f>
        <v>0</v>
      </c>
      <c r="Q4" s="33">
        <f>(P4*25%)+P4</f>
        <v>0</v>
      </c>
      <c r="R4" s="25">
        <v>0</v>
      </c>
      <c r="S4" s="26">
        <f>(R4*20%)+R4</f>
        <v>0</v>
      </c>
      <c r="T4" s="27"/>
      <c r="U4" s="28">
        <f t="shared" ref="U4:U20" si="0">P4+R4</f>
        <v>0</v>
      </c>
      <c r="V4" s="28">
        <f t="shared" ref="V4:V20" si="1">Q4+S4</f>
        <v>0</v>
      </c>
      <c r="W4" s="35" t="s">
        <v>55</v>
      </c>
      <c r="X4" s="28">
        <f>(R4*8%)</f>
        <v>0</v>
      </c>
      <c r="Y4" s="28">
        <f>(R4*20%)</f>
        <v>0</v>
      </c>
      <c r="Z4" s="28">
        <v>0</v>
      </c>
      <c r="AA4" s="28">
        <f>(Z4*65%)+Z4</f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f>(AL4*15%)</f>
        <v>0</v>
      </c>
      <c r="AN4" s="28">
        <v>0</v>
      </c>
      <c r="AO4" s="28">
        <v>0</v>
      </c>
      <c r="AP4" s="28">
        <v>0</v>
      </c>
      <c r="AQ4" s="28">
        <v>0</v>
      </c>
      <c r="AR4" s="28" t="s">
        <v>377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49"/>
      <c r="BC4" s="28"/>
      <c r="BD4" s="28"/>
      <c r="BE4" s="28"/>
      <c r="BF4" s="28"/>
      <c r="BG4" s="49"/>
      <c r="BH4" s="28"/>
      <c r="BI4" s="28"/>
    </row>
    <row r="5" spans="1:61" ht="20.25" customHeight="1" x14ac:dyDescent="0.35">
      <c r="A5" s="115">
        <v>2</v>
      </c>
      <c r="B5" s="11">
        <v>750</v>
      </c>
      <c r="C5" s="10" t="s">
        <v>56</v>
      </c>
      <c r="D5" s="10" t="s">
        <v>57</v>
      </c>
      <c r="E5" s="10" t="s">
        <v>58</v>
      </c>
      <c r="F5" s="10" t="s">
        <v>59</v>
      </c>
      <c r="G5" s="10" t="s">
        <v>60</v>
      </c>
      <c r="H5" s="10" t="s">
        <v>61</v>
      </c>
      <c r="I5" s="10"/>
      <c r="J5" s="3">
        <v>80</v>
      </c>
      <c r="K5" s="3">
        <v>40</v>
      </c>
      <c r="L5" s="3">
        <v>40</v>
      </c>
      <c r="M5" s="3">
        <v>350</v>
      </c>
      <c r="N5" s="3">
        <v>30</v>
      </c>
      <c r="O5" s="3">
        <v>80</v>
      </c>
      <c r="P5" s="34">
        <f>(VALORI!B$3 * 'PASTA CORTA - ECOSYSTEM'!J5) + (VALORI!B$4 * 'PASTA CORTA - ECOSYSTEM'!K5) + (VALORI!B$4 * 'PASTA CORTA - ECOSYSTEM'!L5) + (VALORI!B$5 * 'PASTA CORTA - ECOSYSTEM'!M5) + (VALORI!B$6 * 'PASTA CORTA - ECOSYSTEM'!N5) + (VALORI!B$7 * 'PASTA CORTA - ECOSYSTEM'!O5)</f>
        <v>20060</v>
      </c>
      <c r="Q5" s="33">
        <f t="shared" ref="Q5:Q19" si="2">(P5*25%)+P5</f>
        <v>25075</v>
      </c>
      <c r="R5" s="25">
        <v>61777.732000000004</v>
      </c>
      <c r="S5" s="26">
        <f t="shared" ref="S5:S20" si="3">(R5*20%)+R5</f>
        <v>74133.27840000001</v>
      </c>
      <c r="T5" s="27" t="s">
        <v>62</v>
      </c>
      <c r="U5" s="28">
        <f t="shared" si="0"/>
        <v>81837.732000000004</v>
      </c>
      <c r="V5" s="28">
        <f t="shared" si="1"/>
        <v>99208.27840000001</v>
      </c>
      <c r="W5" s="35" t="s">
        <v>55</v>
      </c>
      <c r="X5" s="28">
        <f>(R5*8%)</f>
        <v>4942.2185600000003</v>
      </c>
      <c r="Y5" s="28">
        <f>(R5*20%)</f>
        <v>12355.546400000001</v>
      </c>
      <c r="Z5" s="28">
        <v>6000</v>
      </c>
      <c r="AA5" s="28">
        <f>(Z5*65%)+Z5</f>
        <v>9900</v>
      </c>
      <c r="AB5" s="28">
        <v>3800</v>
      </c>
      <c r="AC5" s="28">
        <v>5500</v>
      </c>
      <c r="AD5" s="28">
        <v>1300</v>
      </c>
      <c r="AE5" s="28">
        <v>8000</v>
      </c>
      <c r="AF5" s="28">
        <v>2200</v>
      </c>
      <c r="AG5" s="28">
        <v>2800</v>
      </c>
      <c r="AH5" s="28">
        <v>1500</v>
      </c>
      <c r="AI5" s="28">
        <v>800</v>
      </c>
      <c r="AJ5" s="28">
        <v>2100</v>
      </c>
      <c r="AK5" s="28">
        <v>1600</v>
      </c>
      <c r="AL5" s="28">
        <v>5000</v>
      </c>
      <c r="AM5" s="28">
        <f>(AL5*15%)</f>
        <v>750</v>
      </c>
      <c r="AN5" s="28">
        <v>720</v>
      </c>
      <c r="AO5" s="28">
        <v>1700</v>
      </c>
      <c r="AP5" s="28">
        <v>1700</v>
      </c>
      <c r="AQ5" s="28">
        <v>1100</v>
      </c>
      <c r="AR5" s="28" t="s">
        <v>63</v>
      </c>
      <c r="AS5" s="28">
        <v>8000</v>
      </c>
      <c r="AT5" s="28">
        <v>1600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49"/>
      <c r="BC5" s="28">
        <v>400</v>
      </c>
      <c r="BD5" s="28">
        <v>4800</v>
      </c>
      <c r="BE5" s="28">
        <v>1100</v>
      </c>
      <c r="BF5" s="28">
        <v>2880</v>
      </c>
      <c r="BG5" s="49"/>
      <c r="BH5" s="28">
        <v>36650</v>
      </c>
      <c r="BI5" s="28">
        <v>29290</v>
      </c>
    </row>
    <row r="6" spans="1:61" ht="20.25" customHeight="1" x14ac:dyDescent="0.35">
      <c r="A6" s="115">
        <v>3</v>
      </c>
      <c r="B6" s="11">
        <v>1000</v>
      </c>
      <c r="C6" s="10" t="s">
        <v>64</v>
      </c>
      <c r="D6" s="10" t="s">
        <v>57</v>
      </c>
      <c r="E6" s="10" t="s">
        <v>65</v>
      </c>
      <c r="F6" s="10" t="s">
        <v>59</v>
      </c>
      <c r="G6" s="10" t="s">
        <v>66</v>
      </c>
      <c r="H6" s="10" t="s">
        <v>67</v>
      </c>
      <c r="I6" s="10"/>
      <c r="J6" s="3">
        <v>90</v>
      </c>
      <c r="K6" s="3">
        <v>40</v>
      </c>
      <c r="L6" s="3">
        <v>40</v>
      </c>
      <c r="M6" s="3">
        <v>370</v>
      </c>
      <c r="N6" s="3">
        <v>35</v>
      </c>
      <c r="O6" s="3">
        <v>80</v>
      </c>
      <c r="P6" s="34">
        <f>(VALORI!B$3 * 'PASTA CORTA - ECOSYSTEM'!J6) + (VALORI!B$4 * 'PASTA CORTA - ECOSYSTEM'!K6) + (VALORI!B$4 * 'PASTA CORTA - ECOSYSTEM'!L6) + (VALORI!B$5 * 'PASTA CORTA - ECOSYSTEM'!M6) + (VALORI!B$6 * 'PASTA CORTA - ECOSYSTEM'!N6) + (VALORI!B$7 * 'PASTA CORTA - ECOSYSTEM'!O6)</f>
        <v>21155</v>
      </c>
      <c r="Q6" s="33">
        <f t="shared" si="2"/>
        <v>26443.75</v>
      </c>
      <c r="R6" s="25">
        <v>65573.508000000002</v>
      </c>
      <c r="S6" s="26">
        <f t="shared" si="3"/>
        <v>78688.209600000002</v>
      </c>
      <c r="T6" s="27" t="s">
        <v>62</v>
      </c>
      <c r="U6" s="28">
        <f t="shared" si="0"/>
        <v>86728.508000000002</v>
      </c>
      <c r="V6" s="28">
        <f t="shared" si="1"/>
        <v>105131.9596</v>
      </c>
      <c r="W6" s="35" t="s">
        <v>55</v>
      </c>
      <c r="X6" s="28">
        <f t="shared" ref="X6:X20" si="4">(R6*8%)</f>
        <v>5245.8806400000003</v>
      </c>
      <c r="Y6" s="28">
        <f t="shared" ref="Y6:Y20" si="5">(R6*20%)</f>
        <v>13114.7016</v>
      </c>
      <c r="Z6" s="28">
        <v>6000</v>
      </c>
      <c r="AA6" s="28">
        <f t="shared" ref="AA6:AA20" si="6">(Z6*65%)+Z6</f>
        <v>9900</v>
      </c>
      <c r="AB6" s="28">
        <v>3800</v>
      </c>
      <c r="AC6" s="28">
        <v>5500</v>
      </c>
      <c r="AD6" s="28">
        <v>1300</v>
      </c>
      <c r="AE6" s="28">
        <v>8000</v>
      </c>
      <c r="AF6" s="28">
        <v>2200</v>
      </c>
      <c r="AG6" s="28">
        <v>2800</v>
      </c>
      <c r="AH6" s="28">
        <v>1500</v>
      </c>
      <c r="AI6" s="28">
        <v>2000</v>
      </c>
      <c r="AJ6" s="28">
        <v>2100</v>
      </c>
      <c r="AK6" s="28">
        <v>1600</v>
      </c>
      <c r="AL6" s="28">
        <v>5000</v>
      </c>
      <c r="AM6" s="28">
        <f t="shared" ref="AM6:AM20" si="7">(AL6*15%)</f>
        <v>750</v>
      </c>
      <c r="AN6" s="28">
        <v>720</v>
      </c>
      <c r="AO6" s="28">
        <v>1700</v>
      </c>
      <c r="AP6" s="28">
        <v>1700</v>
      </c>
      <c r="AQ6" s="28">
        <v>1100</v>
      </c>
      <c r="AR6" s="28" t="s">
        <v>63</v>
      </c>
      <c r="AS6" s="28">
        <v>8000</v>
      </c>
      <c r="AT6" s="28">
        <v>1600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49"/>
      <c r="BC6" s="28">
        <v>400</v>
      </c>
      <c r="BD6" s="28">
        <v>4800</v>
      </c>
      <c r="BE6" s="28">
        <v>1100</v>
      </c>
      <c r="BF6" s="28">
        <v>2880</v>
      </c>
      <c r="BG6" s="49"/>
      <c r="BH6" s="28">
        <v>36650</v>
      </c>
      <c r="BI6" s="28">
        <v>29290</v>
      </c>
    </row>
    <row r="7" spans="1:61" ht="20.25" customHeight="1" x14ac:dyDescent="0.35">
      <c r="A7" s="115">
        <v>4</v>
      </c>
      <c r="B7" s="11">
        <v>1500</v>
      </c>
      <c r="C7" s="10" t="s">
        <v>68</v>
      </c>
      <c r="D7" s="10" t="s">
        <v>57</v>
      </c>
      <c r="E7" s="10" t="s">
        <v>69</v>
      </c>
      <c r="F7" s="10" t="s">
        <v>59</v>
      </c>
      <c r="G7" s="10" t="s">
        <v>70</v>
      </c>
      <c r="H7" s="10" t="s">
        <v>71</v>
      </c>
      <c r="I7" s="10"/>
      <c r="J7" s="3">
        <v>90</v>
      </c>
      <c r="K7" s="3">
        <v>40</v>
      </c>
      <c r="L7" s="3">
        <v>40</v>
      </c>
      <c r="M7" s="3">
        <v>400</v>
      </c>
      <c r="N7" s="3">
        <v>40</v>
      </c>
      <c r="O7" s="3">
        <v>80</v>
      </c>
      <c r="P7" s="34">
        <f>(VALORI!B$3 * 'PASTA CORTA - ECOSYSTEM'!J7) + (VALORI!B$4 * 'PASTA CORTA - ECOSYSTEM'!K7) + (VALORI!B$4 * 'PASTA CORTA - ECOSYSTEM'!L7) + (VALORI!B$5 * 'PASTA CORTA - ECOSYSTEM'!M7) + (VALORI!B$6 * 'PASTA CORTA - ECOSYSTEM'!N7) + (VALORI!B$7 * 'PASTA CORTA - ECOSYSTEM'!O7)</f>
        <v>22170</v>
      </c>
      <c r="Q7" s="33">
        <f t="shared" si="2"/>
        <v>27712.5</v>
      </c>
      <c r="R7" s="25">
        <v>68047.98</v>
      </c>
      <c r="S7" s="26">
        <f t="shared" si="3"/>
        <v>81657.576000000001</v>
      </c>
      <c r="T7" s="27" t="s">
        <v>72</v>
      </c>
      <c r="U7" s="28">
        <f t="shared" si="0"/>
        <v>90217.98</v>
      </c>
      <c r="V7" s="28">
        <f t="shared" si="1"/>
        <v>109370.076</v>
      </c>
      <c r="W7" s="35" t="s">
        <v>55</v>
      </c>
      <c r="X7" s="28">
        <f t="shared" si="4"/>
        <v>5443.8383999999996</v>
      </c>
      <c r="Y7" s="28">
        <f t="shared" si="5"/>
        <v>13609.596</v>
      </c>
      <c r="Z7" s="28">
        <v>7000</v>
      </c>
      <c r="AA7" s="28">
        <f t="shared" si="6"/>
        <v>11550</v>
      </c>
      <c r="AB7" s="28">
        <v>3800</v>
      </c>
      <c r="AC7" s="28">
        <v>5500</v>
      </c>
      <c r="AD7" s="28">
        <v>1300</v>
      </c>
      <c r="AE7" s="28">
        <v>8000</v>
      </c>
      <c r="AF7" s="28">
        <v>2200</v>
      </c>
      <c r="AG7" s="28">
        <v>2800</v>
      </c>
      <c r="AH7" s="28">
        <v>1500</v>
      </c>
      <c r="AI7" s="28">
        <v>2000</v>
      </c>
      <c r="AJ7" s="28">
        <v>2100</v>
      </c>
      <c r="AK7" s="28">
        <v>1600</v>
      </c>
      <c r="AL7" s="28">
        <v>7000</v>
      </c>
      <c r="AM7" s="28">
        <f t="shared" si="7"/>
        <v>1050</v>
      </c>
      <c r="AN7" s="28">
        <v>720</v>
      </c>
      <c r="AO7" s="28">
        <v>1700</v>
      </c>
      <c r="AP7" s="28">
        <v>1700</v>
      </c>
      <c r="AQ7" s="28">
        <v>1100</v>
      </c>
      <c r="AR7" s="28" t="s">
        <v>63</v>
      </c>
      <c r="AS7" s="28">
        <v>8000</v>
      </c>
      <c r="AT7" s="28">
        <v>1600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49"/>
      <c r="BC7" s="28">
        <v>400</v>
      </c>
      <c r="BD7" s="28">
        <v>4800</v>
      </c>
      <c r="BE7" s="28">
        <v>1100</v>
      </c>
      <c r="BF7" s="28">
        <v>2880</v>
      </c>
      <c r="BG7" s="49"/>
      <c r="BH7" s="28">
        <v>36650</v>
      </c>
      <c r="BI7" s="28">
        <v>29290</v>
      </c>
    </row>
    <row r="8" spans="1:61" ht="20.25" customHeight="1" x14ac:dyDescent="0.35">
      <c r="A8" s="115">
        <v>5</v>
      </c>
      <c r="B8" s="11">
        <v>2000</v>
      </c>
      <c r="C8" s="10" t="s">
        <v>73</v>
      </c>
      <c r="D8" s="10" t="s">
        <v>57</v>
      </c>
      <c r="E8" s="10" t="s">
        <v>74</v>
      </c>
      <c r="F8" s="10" t="s">
        <v>75</v>
      </c>
      <c r="G8" s="10" t="s">
        <v>76</v>
      </c>
      <c r="H8" s="10" t="s">
        <v>71</v>
      </c>
      <c r="I8" s="10"/>
      <c r="J8" s="3">
        <v>90</v>
      </c>
      <c r="K8" s="3">
        <v>40</v>
      </c>
      <c r="L8" s="3">
        <v>40</v>
      </c>
      <c r="M8" s="3">
        <v>435</v>
      </c>
      <c r="N8" s="3">
        <v>40</v>
      </c>
      <c r="O8" s="3">
        <v>80</v>
      </c>
      <c r="P8" s="34">
        <f>(VALORI!B$3 * 'PASTA CORTA - ECOSYSTEM'!J8) + (VALORI!B$4 * 'PASTA CORTA - ECOSYSTEM'!K8) + (VALORI!B$4 * 'PASTA CORTA - ECOSYSTEM'!L8) + (VALORI!B$5 * 'PASTA CORTA - ECOSYSTEM'!M8) + (VALORI!B$6 * 'PASTA CORTA - ECOSYSTEM'!N8) + (VALORI!B$7 * 'PASTA CORTA - ECOSYSTEM'!O8)</f>
        <v>23185</v>
      </c>
      <c r="Q8" s="33">
        <f t="shared" si="2"/>
        <v>28981.25</v>
      </c>
      <c r="R8" s="25">
        <v>69285.216</v>
      </c>
      <c r="S8" s="26">
        <f t="shared" si="3"/>
        <v>83142.2592</v>
      </c>
      <c r="T8" s="27" t="s">
        <v>77</v>
      </c>
      <c r="U8" s="28">
        <f t="shared" si="0"/>
        <v>92470.216</v>
      </c>
      <c r="V8" s="28">
        <f t="shared" si="1"/>
        <v>112123.5092</v>
      </c>
      <c r="W8" s="35" t="s">
        <v>55</v>
      </c>
      <c r="X8" s="28">
        <f t="shared" si="4"/>
        <v>5542.8172800000002</v>
      </c>
      <c r="Y8" s="28">
        <f t="shared" si="5"/>
        <v>13857.0432</v>
      </c>
      <c r="Z8" s="28">
        <v>7000</v>
      </c>
      <c r="AA8" s="28">
        <f t="shared" si="6"/>
        <v>11550</v>
      </c>
      <c r="AB8" s="28">
        <v>3800</v>
      </c>
      <c r="AC8" s="28">
        <v>5500</v>
      </c>
      <c r="AD8" s="28">
        <v>1300</v>
      </c>
      <c r="AE8" s="28">
        <v>8000</v>
      </c>
      <c r="AF8" s="28">
        <v>2200</v>
      </c>
      <c r="AG8" s="28">
        <v>2800</v>
      </c>
      <c r="AH8" s="28">
        <v>1500</v>
      </c>
      <c r="AI8" s="28">
        <v>4000</v>
      </c>
      <c r="AJ8" s="28">
        <v>2100</v>
      </c>
      <c r="AK8" s="28">
        <v>1600</v>
      </c>
      <c r="AL8" s="28">
        <v>7000</v>
      </c>
      <c r="AM8" s="28">
        <f t="shared" si="7"/>
        <v>1050</v>
      </c>
      <c r="AN8" s="28">
        <v>720</v>
      </c>
      <c r="AO8" s="28">
        <v>1700</v>
      </c>
      <c r="AP8" s="28">
        <v>1700</v>
      </c>
      <c r="AQ8" s="28">
        <v>1100</v>
      </c>
      <c r="AR8" s="28" t="s">
        <v>63</v>
      </c>
      <c r="AS8" s="28">
        <v>8000</v>
      </c>
      <c r="AT8" s="28">
        <v>1600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49"/>
      <c r="BC8" s="28">
        <v>400</v>
      </c>
      <c r="BD8" s="28">
        <v>4800</v>
      </c>
      <c r="BE8" s="28">
        <v>1100</v>
      </c>
      <c r="BF8" s="28">
        <v>2880</v>
      </c>
      <c r="BG8" s="49"/>
      <c r="BH8" s="28">
        <v>36650</v>
      </c>
      <c r="BI8" s="28">
        <v>29290</v>
      </c>
    </row>
    <row r="9" spans="1:61" ht="20.25" customHeight="1" x14ac:dyDescent="0.35">
      <c r="A9" s="115">
        <v>6</v>
      </c>
      <c r="B9" s="64">
        <v>2000</v>
      </c>
      <c r="C9" s="10" t="s">
        <v>355</v>
      </c>
      <c r="D9" s="10" t="s">
        <v>57</v>
      </c>
      <c r="E9" s="10" t="s">
        <v>65</v>
      </c>
      <c r="F9" s="10" t="s">
        <v>75</v>
      </c>
      <c r="G9" s="10" t="s">
        <v>76</v>
      </c>
      <c r="H9" s="10" t="s">
        <v>71</v>
      </c>
      <c r="I9" s="10"/>
      <c r="J9" s="3">
        <v>100</v>
      </c>
      <c r="K9" s="3">
        <v>45</v>
      </c>
      <c r="L9" s="3">
        <v>45</v>
      </c>
      <c r="M9" s="3">
        <v>480</v>
      </c>
      <c r="N9" s="3">
        <v>45</v>
      </c>
      <c r="O9" s="3">
        <v>80</v>
      </c>
      <c r="P9" s="34">
        <f>(VALORI!B$3 * 'PASTA CORTA - ECOSYSTEM'!J9) + (VALORI!B$4 * 'PASTA CORTA - ECOSYSTEM'!K9) + (VALORI!B$4 * 'PASTA CORTA - ECOSYSTEM'!L9) + (VALORI!B$5 * 'PASTA CORTA - ECOSYSTEM'!M9) + (VALORI!B$6 * 'PASTA CORTA - ECOSYSTEM'!N9) + (VALORI!B$7 * 'PASTA CORTA - ECOSYSTEM'!O9)</f>
        <v>25385</v>
      </c>
      <c r="Q9" s="33">
        <f t="shared" si="2"/>
        <v>31731.25</v>
      </c>
      <c r="R9" s="25">
        <v>76285.216</v>
      </c>
      <c r="S9" s="26">
        <f t="shared" si="3"/>
        <v>91542.2592</v>
      </c>
      <c r="T9" s="27" t="s">
        <v>77</v>
      </c>
      <c r="U9" s="28">
        <f t="shared" si="0"/>
        <v>101670.216</v>
      </c>
      <c r="V9" s="28">
        <f t="shared" si="1"/>
        <v>123273.5092</v>
      </c>
      <c r="W9" s="35" t="s">
        <v>55</v>
      </c>
      <c r="X9" s="28">
        <f t="shared" si="4"/>
        <v>6102.8172800000002</v>
      </c>
      <c r="Y9" s="28">
        <f t="shared" si="5"/>
        <v>15257.0432</v>
      </c>
      <c r="Z9" s="28">
        <v>7000</v>
      </c>
      <c r="AA9" s="28">
        <f t="shared" si="6"/>
        <v>11550</v>
      </c>
      <c r="AB9" s="28">
        <v>3800</v>
      </c>
      <c r="AC9" s="28">
        <v>5500</v>
      </c>
      <c r="AD9" s="28">
        <v>1300</v>
      </c>
      <c r="AE9" s="28">
        <v>8000</v>
      </c>
      <c r="AF9" s="28">
        <v>2200</v>
      </c>
      <c r="AG9" s="28">
        <v>2800</v>
      </c>
      <c r="AH9" s="28">
        <v>1500</v>
      </c>
      <c r="AI9" s="28">
        <v>4000</v>
      </c>
      <c r="AJ9" s="28">
        <v>2100</v>
      </c>
      <c r="AK9" s="28">
        <v>1600</v>
      </c>
      <c r="AL9" s="28">
        <v>7000</v>
      </c>
      <c r="AM9" s="28">
        <v>1050</v>
      </c>
      <c r="AN9" s="28">
        <v>720</v>
      </c>
      <c r="AO9" s="28">
        <v>1700</v>
      </c>
      <c r="AP9" s="28">
        <v>1700</v>
      </c>
      <c r="AQ9" s="28">
        <v>2200</v>
      </c>
      <c r="AR9" s="28" t="s">
        <v>63</v>
      </c>
      <c r="AS9" s="28">
        <v>8000</v>
      </c>
      <c r="AT9" s="28">
        <v>1600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49"/>
      <c r="BC9" s="28">
        <v>400</v>
      </c>
      <c r="BD9" s="28">
        <v>4800</v>
      </c>
      <c r="BE9" s="28">
        <v>1100</v>
      </c>
      <c r="BF9" s="28">
        <v>2880</v>
      </c>
      <c r="BG9" s="49"/>
      <c r="BH9" s="28">
        <v>36650</v>
      </c>
      <c r="BI9" s="28">
        <v>29290</v>
      </c>
    </row>
    <row r="10" spans="1:61" ht="20.25" customHeight="1" x14ac:dyDescent="0.35">
      <c r="A10" s="115">
        <v>7</v>
      </c>
      <c r="B10" s="11">
        <v>2500</v>
      </c>
      <c r="C10" s="10" t="s">
        <v>78</v>
      </c>
      <c r="D10" s="10" t="s">
        <v>57</v>
      </c>
      <c r="E10" s="10" t="s">
        <v>79</v>
      </c>
      <c r="F10" s="10" t="s">
        <v>75</v>
      </c>
      <c r="G10" s="10" t="s">
        <v>80</v>
      </c>
      <c r="H10" s="10" t="s">
        <v>81</v>
      </c>
      <c r="I10" s="10"/>
      <c r="J10" s="3">
        <v>100</v>
      </c>
      <c r="K10" s="3">
        <v>40</v>
      </c>
      <c r="L10" s="3">
        <v>40</v>
      </c>
      <c r="M10" s="3">
        <v>460</v>
      </c>
      <c r="N10" s="3">
        <v>45</v>
      </c>
      <c r="O10" s="3">
        <v>80</v>
      </c>
      <c r="P10" s="34">
        <f>(VALORI!B$3 * 'PASTA CORTA - ECOSYSTEM'!J10) + (VALORI!B$4 * 'PASTA CORTA - ECOSYSTEM'!K10) + (VALORI!B$4 * 'PASTA CORTA - ECOSYSTEM'!L10) + (VALORI!B$5 * 'PASTA CORTA - ECOSYSTEM'!M10) + (VALORI!B$6 * 'PASTA CORTA - ECOSYSTEM'!N10) + (VALORI!B$7 * 'PASTA CORTA - ECOSYSTEM'!O10)</f>
        <v>24425</v>
      </c>
      <c r="Q10" s="33">
        <f t="shared" si="2"/>
        <v>30531.25</v>
      </c>
      <c r="R10" s="25">
        <v>71759.688000000009</v>
      </c>
      <c r="S10" s="26">
        <f t="shared" si="3"/>
        <v>86111.625600000014</v>
      </c>
      <c r="T10" s="27" t="s">
        <v>82</v>
      </c>
      <c r="U10" s="28">
        <f t="shared" si="0"/>
        <v>96184.688000000009</v>
      </c>
      <c r="V10" s="28">
        <f t="shared" si="1"/>
        <v>116642.87560000001</v>
      </c>
      <c r="W10" s="35" t="s">
        <v>55</v>
      </c>
      <c r="X10" s="28">
        <f t="shared" si="4"/>
        <v>5740.7750400000004</v>
      </c>
      <c r="Y10" s="28">
        <f t="shared" si="5"/>
        <v>14351.937600000003</v>
      </c>
      <c r="Z10" s="28">
        <v>8000</v>
      </c>
      <c r="AA10" s="28">
        <f t="shared" si="6"/>
        <v>13200</v>
      </c>
      <c r="AB10" s="28">
        <v>3800</v>
      </c>
      <c r="AC10" s="28">
        <v>5500</v>
      </c>
      <c r="AD10" s="28">
        <v>1300</v>
      </c>
      <c r="AE10" s="28">
        <v>8000</v>
      </c>
      <c r="AF10" s="28">
        <v>2200</v>
      </c>
      <c r="AG10" s="28">
        <v>2800</v>
      </c>
      <c r="AH10" s="28">
        <v>1500</v>
      </c>
      <c r="AI10" s="28">
        <v>4000</v>
      </c>
      <c r="AJ10" s="28">
        <v>2100</v>
      </c>
      <c r="AK10" s="28">
        <v>1600</v>
      </c>
      <c r="AL10" s="28">
        <v>7000</v>
      </c>
      <c r="AM10" s="28">
        <f t="shared" si="7"/>
        <v>1050</v>
      </c>
      <c r="AN10" s="28">
        <v>720</v>
      </c>
      <c r="AO10" s="28">
        <v>1900</v>
      </c>
      <c r="AP10" s="28">
        <v>1900</v>
      </c>
      <c r="AQ10" s="28">
        <v>1100</v>
      </c>
      <c r="AR10" s="28" t="s">
        <v>63</v>
      </c>
      <c r="AS10" s="28">
        <v>8000</v>
      </c>
      <c r="AT10" s="28">
        <v>1600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49"/>
      <c r="BC10" s="28">
        <v>400</v>
      </c>
      <c r="BD10" s="28">
        <v>4800</v>
      </c>
      <c r="BE10" s="28">
        <v>1100</v>
      </c>
      <c r="BF10" s="28">
        <v>2880</v>
      </c>
      <c r="BG10" s="49"/>
      <c r="BH10" s="28">
        <v>36650</v>
      </c>
      <c r="BI10" s="28">
        <v>29290</v>
      </c>
    </row>
    <row r="11" spans="1:61" ht="20.25" customHeight="1" x14ac:dyDescent="0.35">
      <c r="A11" s="115">
        <v>8</v>
      </c>
      <c r="B11" s="11">
        <v>3000</v>
      </c>
      <c r="C11" s="10" t="s">
        <v>83</v>
      </c>
      <c r="D11" s="10" t="s">
        <v>57</v>
      </c>
      <c r="E11" s="10" t="s">
        <v>79</v>
      </c>
      <c r="F11" s="10" t="s">
        <v>75</v>
      </c>
      <c r="G11" s="10" t="s">
        <v>84</v>
      </c>
      <c r="H11" s="10" t="s">
        <v>81</v>
      </c>
      <c r="I11" s="10"/>
      <c r="J11" s="3">
        <v>100</v>
      </c>
      <c r="K11" s="3">
        <v>40</v>
      </c>
      <c r="L11" s="3">
        <v>40</v>
      </c>
      <c r="M11" s="3">
        <v>480</v>
      </c>
      <c r="N11" s="3">
        <v>45</v>
      </c>
      <c r="O11" s="3">
        <v>80</v>
      </c>
      <c r="P11" s="34">
        <f>(VALORI!B$3 * 'PASTA CORTA - ECOSYSTEM'!J11) + (VALORI!B$4 * 'PASTA CORTA - ECOSYSTEM'!K11) + (VALORI!B$4 * 'PASTA CORTA - ECOSYSTEM'!L11) + (VALORI!B$5 * 'PASTA CORTA - ECOSYSTEM'!M11) + (VALORI!B$6 * 'PASTA CORTA - ECOSYSTEM'!N11) + (VALORI!B$7 * 'PASTA CORTA - ECOSYSTEM'!O11)</f>
        <v>25005</v>
      </c>
      <c r="Q11" s="33">
        <f t="shared" si="2"/>
        <v>31256.25</v>
      </c>
      <c r="R11" s="25">
        <v>74234.16</v>
      </c>
      <c r="S11" s="26">
        <f t="shared" si="3"/>
        <v>89080.991999999998</v>
      </c>
      <c r="T11" s="27" t="s">
        <v>85</v>
      </c>
      <c r="U11" s="28">
        <f t="shared" si="0"/>
        <v>99239.16</v>
      </c>
      <c r="V11" s="28">
        <f t="shared" si="1"/>
        <v>120337.242</v>
      </c>
      <c r="W11" s="35" t="s">
        <v>55</v>
      </c>
      <c r="X11" s="28">
        <f t="shared" si="4"/>
        <v>5938.7328000000007</v>
      </c>
      <c r="Y11" s="28">
        <f t="shared" si="5"/>
        <v>14846.832000000002</v>
      </c>
      <c r="Z11" s="28">
        <v>8000</v>
      </c>
      <c r="AA11" s="28">
        <f t="shared" si="6"/>
        <v>13200</v>
      </c>
      <c r="AB11" s="28">
        <v>3800</v>
      </c>
      <c r="AC11" s="28">
        <v>5500</v>
      </c>
      <c r="AD11" s="28">
        <v>1300</v>
      </c>
      <c r="AE11" s="28">
        <v>8000</v>
      </c>
      <c r="AF11" s="28">
        <v>2200</v>
      </c>
      <c r="AG11" s="28">
        <v>2800</v>
      </c>
      <c r="AH11" s="28">
        <v>1500</v>
      </c>
      <c r="AI11" s="28">
        <v>5000</v>
      </c>
      <c r="AJ11" s="28">
        <v>2100</v>
      </c>
      <c r="AK11" s="28">
        <v>1600</v>
      </c>
      <c r="AL11" s="28">
        <v>9000</v>
      </c>
      <c r="AM11" s="28">
        <f t="shared" si="7"/>
        <v>1350</v>
      </c>
      <c r="AN11" s="28">
        <v>720</v>
      </c>
      <c r="AO11" s="28">
        <v>1900</v>
      </c>
      <c r="AP11" s="28">
        <v>1900</v>
      </c>
      <c r="AQ11" s="28">
        <v>1100</v>
      </c>
      <c r="AR11" s="28" t="s">
        <v>63</v>
      </c>
      <c r="AS11" s="28">
        <v>8000</v>
      </c>
      <c r="AT11" s="28">
        <v>1600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49"/>
      <c r="BC11" s="28">
        <v>400</v>
      </c>
      <c r="BD11" s="28">
        <v>4800</v>
      </c>
      <c r="BE11" s="28">
        <v>1100</v>
      </c>
      <c r="BF11" s="28">
        <v>2880</v>
      </c>
      <c r="BG11" s="49"/>
      <c r="BH11" s="28">
        <v>36650</v>
      </c>
      <c r="BI11" s="28">
        <v>29290</v>
      </c>
    </row>
    <row r="12" spans="1:61" ht="20.25" customHeight="1" x14ac:dyDescent="0.35">
      <c r="A12" s="115">
        <v>9</v>
      </c>
      <c r="B12" s="11">
        <v>3500</v>
      </c>
      <c r="C12" s="19" t="s">
        <v>54</v>
      </c>
      <c r="D12" s="19" t="s">
        <v>54</v>
      </c>
      <c r="E12" s="19" t="s">
        <v>54</v>
      </c>
      <c r="F12" s="19" t="s">
        <v>54</v>
      </c>
      <c r="G12" s="19" t="s">
        <v>54</v>
      </c>
      <c r="H12" s="19" t="s">
        <v>54</v>
      </c>
      <c r="I12" s="19"/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4">
        <f>(VALORI!B$3 * 'PASTA CORTA - ECOSYSTEM'!J12) + (VALORI!B$4 * 'PASTA CORTA - ECOSYSTEM'!K12) + (VALORI!B$4 * 'PASTA CORTA - ECOSYSTEM'!L12) + (VALORI!B$5 * 'PASTA CORTA - ECOSYSTEM'!M12) + (VALORI!B$6 * 'PASTA CORTA - ECOSYSTEM'!N12) + (VALORI!B$7 * 'PASTA CORTA - ECOSYSTEM'!O12)</f>
        <v>0</v>
      </c>
      <c r="Q12" s="33">
        <f t="shared" ref="Q12" si="8">(P12*25%)+P12</f>
        <v>0</v>
      </c>
      <c r="R12" s="25">
        <v>0</v>
      </c>
      <c r="S12" s="26">
        <f t="shared" si="3"/>
        <v>0</v>
      </c>
      <c r="T12" s="27"/>
      <c r="U12" s="28">
        <f t="shared" si="0"/>
        <v>0</v>
      </c>
      <c r="V12" s="28">
        <f t="shared" si="1"/>
        <v>0</v>
      </c>
      <c r="W12" s="35" t="s">
        <v>55</v>
      </c>
      <c r="X12" s="28">
        <f>(R12*8%)</f>
        <v>0</v>
      </c>
      <c r="Y12" s="28">
        <f>(R12*20%)</f>
        <v>0</v>
      </c>
      <c r="Z12" s="28">
        <v>0</v>
      </c>
      <c r="AA12" s="28">
        <f>(Z12*65%)+Z12</f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f>(AL12*15%)</f>
        <v>0</v>
      </c>
      <c r="AN12" s="28">
        <v>0</v>
      </c>
      <c r="AO12" s="28">
        <v>0</v>
      </c>
      <c r="AP12" s="28">
        <v>0</v>
      </c>
      <c r="AQ12" s="28">
        <v>0</v>
      </c>
      <c r="AR12" s="28" t="s">
        <v>377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49"/>
      <c r="BC12" s="28"/>
      <c r="BD12" s="28"/>
      <c r="BE12" s="28"/>
      <c r="BF12" s="28"/>
      <c r="BG12" s="49"/>
      <c r="BH12" s="28"/>
      <c r="BI12" s="28"/>
    </row>
    <row r="13" spans="1:61" ht="20.25" customHeight="1" x14ac:dyDescent="0.35">
      <c r="A13" s="115">
        <v>10</v>
      </c>
      <c r="B13" s="11">
        <v>4000</v>
      </c>
      <c r="C13" s="10" t="s">
        <v>86</v>
      </c>
      <c r="D13" s="10" t="s">
        <v>57</v>
      </c>
      <c r="E13" s="10" t="s">
        <v>87</v>
      </c>
      <c r="F13" s="10" t="s">
        <v>88</v>
      </c>
      <c r="G13" s="10" t="s">
        <v>89</v>
      </c>
      <c r="H13" s="10" t="s">
        <v>90</v>
      </c>
      <c r="I13" s="10"/>
      <c r="J13" s="3">
        <v>110</v>
      </c>
      <c r="K13" s="3">
        <v>50</v>
      </c>
      <c r="L13" s="3">
        <v>50</v>
      </c>
      <c r="M13" s="3">
        <v>520</v>
      </c>
      <c r="N13" s="3">
        <v>50</v>
      </c>
      <c r="O13" s="3">
        <v>100</v>
      </c>
      <c r="P13" s="34">
        <f>(VALORI!B$3 * 'PASTA CORTA - ECOSYSTEM'!J13) + (VALORI!B$4 * 'PASTA CORTA - ECOSYSTEM'!K13) + (VALORI!B$4 * 'PASTA CORTA - ECOSYSTEM'!L13) + (VALORI!B$5 * 'PASTA CORTA - ECOSYSTEM'!M13) + (VALORI!B$6 * 'PASTA CORTA - ECOSYSTEM'!N13) + (VALORI!B$7 * 'PASTA CORTA - ECOSYSTEM'!O13)</f>
        <v>28200</v>
      </c>
      <c r="Q13" s="33">
        <f t="shared" si="2"/>
        <v>35250</v>
      </c>
      <c r="R13" s="25">
        <v>90318.228000000003</v>
      </c>
      <c r="S13" s="26">
        <f t="shared" si="3"/>
        <v>108381.87360000001</v>
      </c>
      <c r="T13" s="27" t="s">
        <v>91</v>
      </c>
      <c r="U13" s="28">
        <f t="shared" si="0"/>
        <v>118518.228</v>
      </c>
      <c r="V13" s="28">
        <f t="shared" si="1"/>
        <v>143631.87359999999</v>
      </c>
      <c r="W13" s="35" t="s">
        <v>55</v>
      </c>
      <c r="X13" s="28">
        <f t="shared" si="4"/>
        <v>7225.4582399999999</v>
      </c>
      <c r="Y13" s="28">
        <f t="shared" si="5"/>
        <v>18063.6456</v>
      </c>
      <c r="Z13" s="28">
        <v>10000</v>
      </c>
      <c r="AA13" s="28">
        <f t="shared" si="6"/>
        <v>16500</v>
      </c>
      <c r="AB13" s="28">
        <v>3800</v>
      </c>
      <c r="AC13" s="28">
        <v>5500</v>
      </c>
      <c r="AD13" s="28">
        <v>1300</v>
      </c>
      <c r="AE13" s="28">
        <v>8000</v>
      </c>
      <c r="AF13" s="28">
        <v>2200</v>
      </c>
      <c r="AG13" s="28">
        <v>2800</v>
      </c>
      <c r="AH13" s="28">
        <v>1500</v>
      </c>
      <c r="AI13" s="28">
        <v>4000</v>
      </c>
      <c r="AJ13" s="28">
        <v>4200</v>
      </c>
      <c r="AK13" s="28">
        <v>2200</v>
      </c>
      <c r="AL13" s="28">
        <v>9000</v>
      </c>
      <c r="AM13" s="28">
        <f t="shared" si="7"/>
        <v>1350</v>
      </c>
      <c r="AN13" s="28">
        <v>720</v>
      </c>
      <c r="AO13" s="28">
        <v>1900</v>
      </c>
      <c r="AP13" s="28">
        <v>1900</v>
      </c>
      <c r="AQ13" s="28">
        <v>2200</v>
      </c>
      <c r="AR13" s="28" t="s">
        <v>63</v>
      </c>
      <c r="AS13" s="28">
        <v>8000</v>
      </c>
      <c r="AT13" s="28">
        <v>2200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49"/>
      <c r="BC13" s="28">
        <v>800</v>
      </c>
      <c r="BD13" s="28">
        <v>4800</v>
      </c>
      <c r="BE13" s="28">
        <v>1100</v>
      </c>
      <c r="BF13" s="28">
        <v>2880</v>
      </c>
      <c r="BG13" s="49"/>
      <c r="BH13" s="28">
        <v>36650</v>
      </c>
      <c r="BI13" s="28">
        <v>29290</v>
      </c>
    </row>
    <row r="14" spans="1:61" ht="20.25" customHeight="1" x14ac:dyDescent="0.35">
      <c r="A14" s="115">
        <v>11</v>
      </c>
      <c r="B14" s="11">
        <v>4500</v>
      </c>
      <c r="C14" s="10" t="s">
        <v>86</v>
      </c>
      <c r="D14" s="10" t="s">
        <v>57</v>
      </c>
      <c r="E14" s="10" t="s">
        <v>87</v>
      </c>
      <c r="F14" s="10" t="s">
        <v>92</v>
      </c>
      <c r="G14" s="10" t="s">
        <v>93</v>
      </c>
      <c r="H14" s="10" t="s">
        <v>94</v>
      </c>
      <c r="I14" s="10"/>
      <c r="J14" s="3">
        <v>110</v>
      </c>
      <c r="K14" s="3">
        <v>50</v>
      </c>
      <c r="L14" s="3">
        <v>50</v>
      </c>
      <c r="M14" s="3">
        <v>530</v>
      </c>
      <c r="N14" s="3">
        <v>50</v>
      </c>
      <c r="O14" s="3">
        <v>100</v>
      </c>
      <c r="P14" s="34">
        <f>(VALORI!B$3 * 'PASTA CORTA - ECOSYSTEM'!J14) + (VALORI!B$4 * 'PASTA CORTA - ECOSYSTEM'!K14) + (VALORI!B$4 * 'PASTA CORTA - ECOSYSTEM'!L14) + (VALORI!B$5 * 'PASTA CORTA - ECOSYSTEM'!M14) + (VALORI!B$6 * 'PASTA CORTA - ECOSYSTEM'!N14) + (VALORI!B$7 * 'PASTA CORTA - ECOSYSTEM'!O14)</f>
        <v>28490</v>
      </c>
      <c r="Q14" s="33">
        <f t="shared" si="2"/>
        <v>35612.5</v>
      </c>
      <c r="R14" s="25">
        <v>92792.7</v>
      </c>
      <c r="S14" s="26">
        <f t="shared" si="3"/>
        <v>111351.23999999999</v>
      </c>
      <c r="T14" s="27" t="s">
        <v>95</v>
      </c>
      <c r="U14" s="28">
        <f t="shared" si="0"/>
        <v>121282.7</v>
      </c>
      <c r="V14" s="28">
        <f t="shared" si="1"/>
        <v>146963.74</v>
      </c>
      <c r="W14" s="35" t="s">
        <v>55</v>
      </c>
      <c r="X14" s="28">
        <f t="shared" si="4"/>
        <v>7423.4160000000002</v>
      </c>
      <c r="Y14" s="28">
        <f t="shared" si="5"/>
        <v>18558.54</v>
      </c>
      <c r="Z14" s="28">
        <v>11000</v>
      </c>
      <c r="AA14" s="28">
        <f t="shared" si="6"/>
        <v>18150</v>
      </c>
      <c r="AB14" s="28">
        <v>3800</v>
      </c>
      <c r="AC14" s="28">
        <v>5500</v>
      </c>
      <c r="AD14" s="28">
        <v>1300</v>
      </c>
      <c r="AE14" s="28">
        <v>8000</v>
      </c>
      <c r="AF14" s="28">
        <v>2200</v>
      </c>
      <c r="AG14" s="28">
        <v>2800</v>
      </c>
      <c r="AH14" s="28">
        <v>1500</v>
      </c>
      <c r="AI14" s="28">
        <v>4000</v>
      </c>
      <c r="AJ14" s="28">
        <v>4200</v>
      </c>
      <c r="AK14" s="28">
        <v>2200</v>
      </c>
      <c r="AL14" s="28">
        <v>9000</v>
      </c>
      <c r="AM14" s="28">
        <f t="shared" si="7"/>
        <v>1350</v>
      </c>
      <c r="AN14" s="28">
        <v>720</v>
      </c>
      <c r="AO14" s="28">
        <v>1900</v>
      </c>
      <c r="AP14" s="28">
        <v>1900</v>
      </c>
      <c r="AQ14" s="28">
        <v>2200</v>
      </c>
      <c r="AR14" s="28" t="s">
        <v>63</v>
      </c>
      <c r="AS14" s="28">
        <v>8000</v>
      </c>
      <c r="AT14" s="28">
        <v>2200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49"/>
      <c r="BC14" s="28">
        <v>800</v>
      </c>
      <c r="BD14" s="28">
        <v>4800</v>
      </c>
      <c r="BE14" s="28">
        <v>1100</v>
      </c>
      <c r="BF14" s="28">
        <v>2880</v>
      </c>
      <c r="BG14" s="49"/>
      <c r="BH14" s="28">
        <v>36650</v>
      </c>
      <c r="BI14" s="28">
        <v>29290</v>
      </c>
    </row>
    <row r="15" spans="1:61" ht="20.25" customHeight="1" x14ac:dyDescent="0.35">
      <c r="A15" s="115">
        <v>12</v>
      </c>
      <c r="B15" s="11">
        <v>5000</v>
      </c>
      <c r="C15" s="10" t="s">
        <v>96</v>
      </c>
      <c r="D15" s="10" t="s">
        <v>57</v>
      </c>
      <c r="E15" s="10" t="s">
        <v>97</v>
      </c>
      <c r="F15" s="10" t="s">
        <v>92</v>
      </c>
      <c r="G15" s="10" t="s">
        <v>98</v>
      </c>
      <c r="H15" s="10" t="s">
        <v>94</v>
      </c>
      <c r="I15" s="10"/>
      <c r="J15" s="3">
        <v>110</v>
      </c>
      <c r="K15" s="3">
        <v>50</v>
      </c>
      <c r="L15" s="3">
        <v>50</v>
      </c>
      <c r="M15" s="3">
        <v>550</v>
      </c>
      <c r="N15" s="3">
        <v>50</v>
      </c>
      <c r="O15" s="3">
        <v>100</v>
      </c>
      <c r="P15" s="34">
        <f>(VALORI!B$3 * 'PASTA CORTA - ECOSYSTEM'!J15) + (VALORI!B$4 * 'PASTA CORTA - ECOSYSTEM'!K15) + (VALORI!B$4 * 'PASTA CORTA - ECOSYSTEM'!L15) + (VALORI!B$5 * 'PASTA CORTA - ECOSYSTEM'!M15) + (VALORI!B$6 * 'PASTA CORTA - ECOSYSTEM'!N15) + (VALORI!B$7 * 'PASTA CORTA - ECOSYSTEM'!O15)</f>
        <v>29070</v>
      </c>
      <c r="Q15" s="33">
        <f t="shared" si="2"/>
        <v>36337.5</v>
      </c>
      <c r="R15" s="25">
        <v>100216.11599999999</v>
      </c>
      <c r="S15" s="26">
        <f t="shared" si="3"/>
        <v>120259.33919999999</v>
      </c>
      <c r="T15" s="27" t="s">
        <v>99</v>
      </c>
      <c r="U15" s="28">
        <f t="shared" si="0"/>
        <v>129286.11599999999</v>
      </c>
      <c r="V15" s="28">
        <f t="shared" si="1"/>
        <v>156596.83919999999</v>
      </c>
      <c r="W15" s="35" t="s">
        <v>55</v>
      </c>
      <c r="X15" s="28">
        <f t="shared" si="4"/>
        <v>8017.28928</v>
      </c>
      <c r="Y15" s="28">
        <f t="shared" si="5"/>
        <v>20043.2232</v>
      </c>
      <c r="Z15" s="28">
        <v>12000</v>
      </c>
      <c r="AA15" s="28">
        <f t="shared" si="6"/>
        <v>19800</v>
      </c>
      <c r="AB15" s="28">
        <v>3800</v>
      </c>
      <c r="AC15" s="28">
        <v>5500</v>
      </c>
      <c r="AD15" s="28">
        <v>1300</v>
      </c>
      <c r="AE15" s="28">
        <v>8000</v>
      </c>
      <c r="AF15" s="28">
        <v>2200</v>
      </c>
      <c r="AG15" s="28">
        <v>2800</v>
      </c>
      <c r="AH15" s="28">
        <v>1500</v>
      </c>
      <c r="AI15" s="28">
        <v>8000</v>
      </c>
      <c r="AJ15" s="28">
        <v>4200</v>
      </c>
      <c r="AK15" s="28">
        <v>2200</v>
      </c>
      <c r="AL15" s="28">
        <v>9000</v>
      </c>
      <c r="AM15" s="28">
        <f t="shared" si="7"/>
        <v>1350</v>
      </c>
      <c r="AN15" s="28">
        <v>720</v>
      </c>
      <c r="AO15" s="28">
        <v>3400</v>
      </c>
      <c r="AP15" s="28">
        <v>3400</v>
      </c>
      <c r="AQ15" s="28">
        <v>2200</v>
      </c>
      <c r="AR15" s="28" t="s">
        <v>63</v>
      </c>
      <c r="AS15" s="28">
        <v>8000</v>
      </c>
      <c r="AT15" s="28">
        <v>2200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49"/>
      <c r="BC15" s="28">
        <v>800</v>
      </c>
      <c r="BD15" s="28">
        <v>4800</v>
      </c>
      <c r="BE15" s="28">
        <v>1100</v>
      </c>
      <c r="BF15" s="28">
        <v>2880</v>
      </c>
      <c r="BG15" s="49"/>
      <c r="BH15" s="28">
        <v>36650</v>
      </c>
      <c r="BI15" s="28">
        <v>29290</v>
      </c>
    </row>
    <row r="16" spans="1:61" ht="20.25" customHeight="1" x14ac:dyDescent="0.35">
      <c r="A16" s="115">
        <v>13</v>
      </c>
      <c r="B16" s="11">
        <v>5500</v>
      </c>
      <c r="C16" s="19" t="s">
        <v>54</v>
      </c>
      <c r="D16" s="19" t="s">
        <v>54</v>
      </c>
      <c r="E16" s="19" t="s">
        <v>54</v>
      </c>
      <c r="F16" s="19" t="s">
        <v>54</v>
      </c>
      <c r="G16" s="19" t="s">
        <v>54</v>
      </c>
      <c r="H16" s="19" t="s">
        <v>54</v>
      </c>
      <c r="I16" s="19"/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4">
        <f>(VALORI!B$3 * 'PASTA CORTA - ECOSYSTEM'!J16) + (VALORI!B$4 * 'PASTA CORTA - ECOSYSTEM'!K16) + (VALORI!B$4 * 'PASTA CORTA - ECOSYSTEM'!L16) + (VALORI!B$5 * 'PASTA CORTA - ECOSYSTEM'!M16) + (VALORI!B$6 * 'PASTA CORTA - ECOSYSTEM'!N16) + (VALORI!B$7 * 'PASTA CORTA - ECOSYSTEM'!O16)</f>
        <v>0</v>
      </c>
      <c r="Q16" s="33">
        <f t="shared" ref="Q16" si="9">(P16*25%)+P16</f>
        <v>0</v>
      </c>
      <c r="R16" s="25">
        <v>0</v>
      </c>
      <c r="S16" s="26">
        <f t="shared" si="3"/>
        <v>0</v>
      </c>
      <c r="T16" s="27"/>
      <c r="U16" s="28">
        <f t="shared" si="0"/>
        <v>0</v>
      </c>
      <c r="V16" s="28">
        <f t="shared" si="1"/>
        <v>0</v>
      </c>
      <c r="W16" s="35" t="s">
        <v>55</v>
      </c>
      <c r="X16" s="28">
        <f>(R16*8%)</f>
        <v>0</v>
      </c>
      <c r="Y16" s="28">
        <f>(R16*20%)</f>
        <v>0</v>
      </c>
      <c r="Z16" s="28">
        <v>0</v>
      </c>
      <c r="AA16" s="28">
        <f>(Z16*65%)+Z16</f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f>(AL16*15%)</f>
        <v>0</v>
      </c>
      <c r="AN16" s="28">
        <v>0</v>
      </c>
      <c r="AO16" s="28">
        <v>0</v>
      </c>
      <c r="AP16" s="28">
        <v>0</v>
      </c>
      <c r="AQ16" s="28">
        <v>0</v>
      </c>
      <c r="AR16" s="28" t="s">
        <v>377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49"/>
      <c r="BC16" s="28"/>
      <c r="BD16" s="28"/>
      <c r="BE16" s="28"/>
      <c r="BF16" s="28"/>
      <c r="BG16" s="49"/>
      <c r="BH16" s="28"/>
      <c r="BI16" s="28"/>
    </row>
    <row r="17" spans="1:61" ht="20.25" customHeight="1" x14ac:dyDescent="0.35">
      <c r="A17" s="115">
        <v>14</v>
      </c>
      <c r="B17" s="11">
        <v>6000</v>
      </c>
      <c r="C17" s="10" t="s">
        <v>100</v>
      </c>
      <c r="D17" s="10" t="s">
        <v>57</v>
      </c>
      <c r="E17" s="10" t="s">
        <v>97</v>
      </c>
      <c r="F17" s="10" t="s">
        <v>101</v>
      </c>
      <c r="G17" s="10" t="s">
        <v>102</v>
      </c>
      <c r="H17" s="10" t="s">
        <v>103</v>
      </c>
      <c r="I17" s="10"/>
      <c r="J17" s="3">
        <v>110</v>
      </c>
      <c r="K17" s="3">
        <v>50</v>
      </c>
      <c r="L17" s="3">
        <v>50</v>
      </c>
      <c r="M17" s="3">
        <v>620</v>
      </c>
      <c r="N17" s="3">
        <v>60</v>
      </c>
      <c r="O17" s="3">
        <v>100</v>
      </c>
      <c r="P17" s="34">
        <f>(VALORI!B$3 * 'PASTA CORTA - ECOSYSTEM'!J17) + (VALORI!B$4 * 'PASTA CORTA - ECOSYSTEM'!K17) + (VALORI!B$4 * 'PASTA CORTA - ECOSYSTEM'!L17) + (VALORI!B$5 * 'PASTA CORTA - ECOSYSTEM'!M17) + (VALORI!B$6 * 'PASTA CORTA - ECOSYSTEM'!N17) + (VALORI!B$7 * 'PASTA CORTA - ECOSYSTEM'!O17)</f>
        <v>31390</v>
      </c>
      <c r="Q17" s="33">
        <f t="shared" si="2"/>
        <v>39237.5</v>
      </c>
      <c r="R17" s="25">
        <v>105165.06</v>
      </c>
      <c r="S17" s="26">
        <f t="shared" si="3"/>
        <v>126198.072</v>
      </c>
      <c r="T17" s="27" t="s">
        <v>99</v>
      </c>
      <c r="U17" s="28">
        <f t="shared" si="0"/>
        <v>136555.06</v>
      </c>
      <c r="V17" s="28">
        <f t="shared" si="1"/>
        <v>165435.57199999999</v>
      </c>
      <c r="W17" s="35" t="s">
        <v>55</v>
      </c>
      <c r="X17" s="28">
        <f t="shared" si="4"/>
        <v>8413.2047999999995</v>
      </c>
      <c r="Y17" s="28">
        <f t="shared" si="5"/>
        <v>21033.012000000002</v>
      </c>
      <c r="Z17" s="28">
        <v>12000</v>
      </c>
      <c r="AA17" s="28">
        <f t="shared" si="6"/>
        <v>19800</v>
      </c>
      <c r="AB17" s="28">
        <v>3800</v>
      </c>
      <c r="AC17" s="28">
        <v>5500</v>
      </c>
      <c r="AD17" s="28">
        <v>1300</v>
      </c>
      <c r="AE17" s="28">
        <v>8000</v>
      </c>
      <c r="AF17" s="28">
        <v>2200</v>
      </c>
      <c r="AG17" s="28">
        <v>2800</v>
      </c>
      <c r="AH17" s="28">
        <v>1500</v>
      </c>
      <c r="AI17" s="28">
        <v>8000</v>
      </c>
      <c r="AJ17" s="28">
        <v>4200</v>
      </c>
      <c r="AK17" s="28">
        <v>2200</v>
      </c>
      <c r="AL17" s="28">
        <v>11000</v>
      </c>
      <c r="AM17" s="28">
        <f t="shared" si="7"/>
        <v>1650</v>
      </c>
      <c r="AN17" s="28">
        <v>720</v>
      </c>
      <c r="AO17" s="28">
        <v>3400</v>
      </c>
      <c r="AP17" s="28">
        <v>3400</v>
      </c>
      <c r="AQ17" s="28">
        <v>2200</v>
      </c>
      <c r="AR17" s="28" t="s">
        <v>63</v>
      </c>
      <c r="AS17" s="28">
        <v>8000</v>
      </c>
      <c r="AT17" s="28">
        <v>2200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49"/>
      <c r="BC17" s="28">
        <v>800</v>
      </c>
      <c r="BD17" s="28">
        <v>4800</v>
      </c>
      <c r="BE17" s="28">
        <v>1100</v>
      </c>
      <c r="BF17" s="28">
        <v>2880</v>
      </c>
      <c r="BG17" s="49"/>
      <c r="BH17" s="28">
        <v>36650</v>
      </c>
      <c r="BI17" s="28">
        <v>29290</v>
      </c>
    </row>
    <row r="18" spans="1:61" ht="20.25" customHeight="1" x14ac:dyDescent="0.35">
      <c r="A18" s="115">
        <v>15</v>
      </c>
      <c r="B18" s="11">
        <v>8000</v>
      </c>
      <c r="C18" s="19" t="s">
        <v>54</v>
      </c>
      <c r="D18" s="19" t="s">
        <v>54</v>
      </c>
      <c r="E18" s="19" t="s">
        <v>54</v>
      </c>
      <c r="F18" s="19"/>
      <c r="G18" s="19" t="s">
        <v>54</v>
      </c>
      <c r="H18" s="19" t="s">
        <v>54</v>
      </c>
      <c r="I18" s="19"/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4">
        <f>(VALORI!B$3 * 'PASTA CORTA - ECOSYSTEM'!J18) + (VALORI!B$4 * 'PASTA CORTA - ECOSYSTEM'!K18) + (VALORI!B$4 * 'PASTA CORTA - ECOSYSTEM'!L18) + (VALORI!B$5 * 'PASTA CORTA - ECOSYSTEM'!M18) + (VALORI!B$6 * 'PASTA CORTA - ECOSYSTEM'!N18) + (VALORI!B$7 * 'PASTA CORTA - ECOSYSTEM'!O18)</f>
        <v>0</v>
      </c>
      <c r="Q18" s="33">
        <f t="shared" si="2"/>
        <v>0</v>
      </c>
      <c r="R18" s="25">
        <v>0</v>
      </c>
      <c r="S18" s="26">
        <f t="shared" si="3"/>
        <v>0</v>
      </c>
      <c r="T18" s="27"/>
      <c r="U18" s="28">
        <f t="shared" si="0"/>
        <v>0</v>
      </c>
      <c r="V18" s="28">
        <f t="shared" si="1"/>
        <v>0</v>
      </c>
      <c r="W18" s="35" t="s">
        <v>55</v>
      </c>
      <c r="X18" s="28">
        <f>(R18*8%)</f>
        <v>0</v>
      </c>
      <c r="Y18" s="28">
        <f>(R18*20%)</f>
        <v>0</v>
      </c>
      <c r="Z18" s="28">
        <v>0</v>
      </c>
      <c r="AA18" s="28">
        <f>(Z18*65%)+Z18</f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f>(AL18*15%)</f>
        <v>0</v>
      </c>
      <c r="AN18" s="28">
        <v>0</v>
      </c>
      <c r="AO18" s="28">
        <v>0</v>
      </c>
      <c r="AP18" s="28">
        <v>0</v>
      </c>
      <c r="AQ18" s="28">
        <v>0</v>
      </c>
      <c r="AR18" s="28" t="s">
        <v>377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49"/>
      <c r="BC18" s="28"/>
      <c r="BD18" s="28"/>
      <c r="BE18" s="28"/>
      <c r="BF18" s="28"/>
      <c r="BG18" s="49"/>
      <c r="BH18" s="28"/>
      <c r="BI18" s="28"/>
    </row>
    <row r="19" spans="1:61" ht="20.25" customHeight="1" x14ac:dyDescent="0.35">
      <c r="A19" s="115">
        <v>16</v>
      </c>
      <c r="B19" s="11">
        <v>9000</v>
      </c>
      <c r="C19" s="19" t="s">
        <v>104</v>
      </c>
      <c r="D19" s="10" t="s">
        <v>57</v>
      </c>
      <c r="E19" s="19" t="s">
        <v>105</v>
      </c>
      <c r="F19" s="19" t="s">
        <v>106</v>
      </c>
      <c r="G19" s="19" t="s">
        <v>107</v>
      </c>
      <c r="H19" s="10" t="s">
        <v>108</v>
      </c>
      <c r="I19" s="10"/>
      <c r="J19" s="3">
        <v>120</v>
      </c>
      <c r="K19" s="3">
        <v>70</v>
      </c>
      <c r="L19" s="3">
        <v>60</v>
      </c>
      <c r="M19" s="3">
        <v>760</v>
      </c>
      <c r="N19" s="3">
        <v>60</v>
      </c>
      <c r="O19" s="3">
        <v>120</v>
      </c>
      <c r="P19" s="34">
        <f>(VALORI!B$3 * 'PASTA CORTA - ECOSYSTEM'!J19) + (VALORI!B$4 * 'PASTA CORTA - ECOSYSTEM'!K19) + (VALORI!B$4 * 'PASTA CORTA - ECOSYSTEM'!L19) + (VALORI!B$5 * 'PASTA CORTA - ECOSYSTEM'!M19) + (VALORI!B$6 * 'PASTA CORTA - ECOSYSTEM'!N19) + (VALORI!B$7 * 'PASTA CORTA - ECOSYSTEM'!O19)</f>
        <v>37720</v>
      </c>
      <c r="Q19" s="33">
        <f t="shared" si="2"/>
        <v>47150</v>
      </c>
      <c r="R19" s="25">
        <v>148468.32</v>
      </c>
      <c r="S19" s="26">
        <f t="shared" si="3"/>
        <v>178161.984</v>
      </c>
      <c r="T19" s="27" t="s">
        <v>109</v>
      </c>
      <c r="U19" s="28">
        <f t="shared" si="0"/>
        <v>186188.32</v>
      </c>
      <c r="V19" s="28">
        <f t="shared" si="1"/>
        <v>225311.984</v>
      </c>
      <c r="W19" s="35" t="s">
        <v>55</v>
      </c>
      <c r="X19" s="28">
        <f t="shared" si="4"/>
        <v>11877.465600000001</v>
      </c>
      <c r="Y19" s="28">
        <f t="shared" si="5"/>
        <v>29693.664000000004</v>
      </c>
      <c r="Z19" s="28">
        <v>14000</v>
      </c>
      <c r="AA19" s="28">
        <f t="shared" si="6"/>
        <v>23100</v>
      </c>
      <c r="AB19" s="28">
        <v>3800</v>
      </c>
      <c r="AC19" s="28">
        <v>5500</v>
      </c>
      <c r="AD19" s="28">
        <v>1300</v>
      </c>
      <c r="AE19" s="28">
        <v>8000</v>
      </c>
      <c r="AF19" s="28">
        <v>2200</v>
      </c>
      <c r="AG19" s="28">
        <v>2800</v>
      </c>
      <c r="AH19" s="28">
        <v>1500</v>
      </c>
      <c r="AI19" s="28">
        <v>12000</v>
      </c>
      <c r="AJ19" s="28">
        <v>8400</v>
      </c>
      <c r="AK19" s="28">
        <v>3200</v>
      </c>
      <c r="AL19" s="28">
        <v>13000</v>
      </c>
      <c r="AM19" s="28">
        <f t="shared" si="7"/>
        <v>1950</v>
      </c>
      <c r="AN19" s="28">
        <v>960</v>
      </c>
      <c r="AO19" s="28">
        <v>3800</v>
      </c>
      <c r="AP19" s="28">
        <v>3800</v>
      </c>
      <c r="AQ19" s="28">
        <v>4400</v>
      </c>
      <c r="AR19" s="28" t="s">
        <v>63</v>
      </c>
      <c r="AS19" s="28">
        <v>8000</v>
      </c>
      <c r="AT19" s="28">
        <v>3200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49"/>
      <c r="BC19" s="28">
        <v>1600</v>
      </c>
      <c r="BD19" s="28">
        <v>4800</v>
      </c>
      <c r="BE19" s="28">
        <v>1100</v>
      </c>
      <c r="BF19" s="28">
        <v>2880</v>
      </c>
      <c r="BG19" s="49"/>
      <c r="BH19" s="28">
        <v>36650</v>
      </c>
      <c r="BI19" s="28">
        <v>29290</v>
      </c>
    </row>
    <row r="20" spans="1:61" ht="20.25" customHeight="1" x14ac:dyDescent="0.35">
      <c r="A20" s="115">
        <v>17</v>
      </c>
      <c r="B20" s="11">
        <v>12000</v>
      </c>
      <c r="C20" s="19" t="s">
        <v>110</v>
      </c>
      <c r="D20" s="10" t="s">
        <v>57</v>
      </c>
      <c r="E20" s="19" t="s">
        <v>111</v>
      </c>
      <c r="F20" s="19" t="s">
        <v>106</v>
      </c>
      <c r="G20" s="19" t="s">
        <v>112</v>
      </c>
      <c r="H20" s="19" t="s">
        <v>113</v>
      </c>
      <c r="I20" s="19"/>
      <c r="J20" s="3">
        <v>130</v>
      </c>
      <c r="K20" s="3">
        <v>100</v>
      </c>
      <c r="L20" s="3">
        <v>80</v>
      </c>
      <c r="M20" s="3">
        <v>900</v>
      </c>
      <c r="N20" s="3">
        <v>100</v>
      </c>
      <c r="O20" s="3">
        <v>160</v>
      </c>
      <c r="P20" s="34">
        <f>(VALORI!B$3 * 'PASTA CORTA - ECOSYSTEM'!J20) + (VALORI!B$4 * 'PASTA CORTA - ECOSYSTEM'!K20) + (VALORI!B$4 * 'PASTA CORTA - ECOSYSTEM'!L20) + (VALORI!B$5 * 'PASTA CORTA - ECOSYSTEM'!M20) + (VALORI!B$6 * 'PASTA CORTA - ECOSYSTEM'!N20) + (VALORI!B$7 * 'PASTA CORTA - ECOSYSTEM'!O20)</f>
        <v>46730</v>
      </c>
      <c r="Q20" s="33">
        <f t="shared" ref="Q20:Q22" si="10">(P20*25%)+P20</f>
        <v>58412.5</v>
      </c>
      <c r="R20" s="25">
        <v>167026.85999999999</v>
      </c>
      <c r="S20" s="26">
        <f t="shared" si="3"/>
        <v>200432.23199999999</v>
      </c>
      <c r="T20" s="27" t="s">
        <v>114</v>
      </c>
      <c r="U20" s="28">
        <f t="shared" si="0"/>
        <v>213756.86</v>
      </c>
      <c r="V20" s="28">
        <f t="shared" si="1"/>
        <v>258844.73199999999</v>
      </c>
      <c r="W20" s="35" t="s">
        <v>55</v>
      </c>
      <c r="X20" s="28">
        <f t="shared" si="4"/>
        <v>13362.148799999999</v>
      </c>
      <c r="Y20" s="28">
        <f t="shared" si="5"/>
        <v>33405.371999999996</v>
      </c>
      <c r="Z20" s="28">
        <v>18000</v>
      </c>
      <c r="AA20" s="28">
        <f t="shared" si="6"/>
        <v>29700</v>
      </c>
      <c r="AB20" s="28">
        <v>3800</v>
      </c>
      <c r="AC20" s="28">
        <v>5500</v>
      </c>
      <c r="AD20" s="28">
        <v>1300</v>
      </c>
      <c r="AE20" s="28">
        <v>8000</v>
      </c>
      <c r="AF20" s="28">
        <v>2200</v>
      </c>
      <c r="AG20" s="28">
        <v>2800</v>
      </c>
      <c r="AH20" s="28">
        <v>1500</v>
      </c>
      <c r="AI20" s="28">
        <v>16000</v>
      </c>
      <c r="AJ20" s="28">
        <v>8400</v>
      </c>
      <c r="AK20" s="28">
        <v>3200</v>
      </c>
      <c r="AL20" s="28">
        <v>15000</v>
      </c>
      <c r="AM20" s="28">
        <f t="shared" si="7"/>
        <v>2250</v>
      </c>
      <c r="AN20" s="28">
        <v>960</v>
      </c>
      <c r="AO20" s="28">
        <v>3800</v>
      </c>
      <c r="AP20" s="28">
        <v>3800</v>
      </c>
      <c r="AQ20" s="28">
        <v>4400</v>
      </c>
      <c r="AR20" s="28" t="s">
        <v>63</v>
      </c>
      <c r="AS20" s="28">
        <v>8000</v>
      </c>
      <c r="AT20" s="28">
        <v>3200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49"/>
      <c r="BC20" s="28">
        <v>1600</v>
      </c>
      <c r="BD20" s="28">
        <v>4800</v>
      </c>
      <c r="BE20" s="28">
        <v>1100</v>
      </c>
      <c r="BF20" s="28">
        <v>2880</v>
      </c>
      <c r="BG20" s="49"/>
      <c r="BH20" s="28">
        <v>36650</v>
      </c>
      <c r="BI20" s="28">
        <v>29290</v>
      </c>
    </row>
    <row r="21" spans="1:61" ht="20.25" customHeight="1" x14ac:dyDescent="0.35">
      <c r="A21" s="115">
        <v>18</v>
      </c>
      <c r="B21" s="11">
        <v>0</v>
      </c>
      <c r="C21" s="19" t="s">
        <v>54</v>
      </c>
      <c r="D21" s="19" t="s">
        <v>54</v>
      </c>
      <c r="E21" s="19" t="s">
        <v>54</v>
      </c>
      <c r="F21" s="19" t="s">
        <v>54</v>
      </c>
      <c r="G21" s="19" t="s">
        <v>54</v>
      </c>
      <c r="H21" s="19" t="s">
        <v>54</v>
      </c>
      <c r="I21" s="19"/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4">
        <f>(VALORI!B$3 * 'PASTA CORTA - ECOSYSTEM'!J21) + (VALORI!B$4 * 'PASTA CORTA - ECOSYSTEM'!K21) + (VALORI!B$4 * 'PASTA CORTA - ECOSYSTEM'!L21) + (VALORI!B$5 * 'PASTA CORTA - ECOSYSTEM'!M21) + (VALORI!B$6 * 'PASTA CORTA - ECOSYSTEM'!N21) + (VALORI!B$7 * 'PASTA CORTA - ECOSYSTEM'!O21)</f>
        <v>0</v>
      </c>
      <c r="Q21" s="33">
        <f t="shared" si="10"/>
        <v>0</v>
      </c>
      <c r="R21" s="25">
        <v>0</v>
      </c>
      <c r="S21" s="26">
        <f t="shared" ref="S21:S22" si="11">(R21*20%)+R21</f>
        <v>0</v>
      </c>
      <c r="T21" s="27"/>
      <c r="U21" s="28">
        <f t="shared" ref="U21:U22" si="12">P21+R21</f>
        <v>0</v>
      </c>
      <c r="V21" s="28">
        <f t="shared" ref="V21:V22" si="13">Q21+S21</f>
        <v>0</v>
      </c>
      <c r="W21" s="35" t="s">
        <v>55</v>
      </c>
      <c r="X21" s="28">
        <f>(R21*8%)</f>
        <v>0</v>
      </c>
      <c r="Y21" s="28">
        <f>(R21*20%)</f>
        <v>0</v>
      </c>
      <c r="Z21" s="28">
        <v>0</v>
      </c>
      <c r="AA21" s="28">
        <f>(Z21*65%)+Z21</f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f>(AL21*15%)</f>
        <v>0</v>
      </c>
      <c r="AN21" s="28">
        <v>0</v>
      </c>
      <c r="AO21" s="28">
        <v>0</v>
      </c>
      <c r="AP21" s="28">
        <v>0</v>
      </c>
      <c r="AQ21" s="28">
        <v>0</v>
      </c>
      <c r="AR21" s="28" t="s">
        <v>377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49"/>
      <c r="BC21" s="28"/>
      <c r="BD21" s="28"/>
      <c r="BE21" s="28"/>
      <c r="BF21" s="28"/>
      <c r="BG21" s="49"/>
      <c r="BH21" s="28"/>
      <c r="BI21" s="28"/>
    </row>
    <row r="22" spans="1:61" ht="20.25" customHeight="1" x14ac:dyDescent="0.35">
      <c r="A22" s="115">
        <v>19</v>
      </c>
      <c r="B22" s="11">
        <v>0</v>
      </c>
      <c r="C22" s="19" t="s">
        <v>54</v>
      </c>
      <c r="D22" s="19" t="s">
        <v>54</v>
      </c>
      <c r="E22" s="19" t="s">
        <v>54</v>
      </c>
      <c r="F22" s="19" t="s">
        <v>54</v>
      </c>
      <c r="G22" s="19" t="s">
        <v>54</v>
      </c>
      <c r="H22" s="19" t="s">
        <v>54</v>
      </c>
      <c r="I22" s="19"/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4">
        <f>(VALORI!B$3 * 'PASTA CORTA - ECOSYSTEM'!J22) + (VALORI!B$4 * 'PASTA CORTA - ECOSYSTEM'!K22) + (VALORI!B$4 * 'PASTA CORTA - ECOSYSTEM'!L22) + (VALORI!B$5 * 'PASTA CORTA - ECOSYSTEM'!M22) + (VALORI!B$6 * 'PASTA CORTA - ECOSYSTEM'!N22) + (VALORI!B$7 * 'PASTA CORTA - ECOSYSTEM'!O22)</f>
        <v>0</v>
      </c>
      <c r="Q22" s="33">
        <f t="shared" si="10"/>
        <v>0</v>
      </c>
      <c r="R22" s="25">
        <v>0</v>
      </c>
      <c r="S22" s="26">
        <f t="shared" si="11"/>
        <v>0</v>
      </c>
      <c r="T22" s="27"/>
      <c r="U22" s="28">
        <f t="shared" si="12"/>
        <v>0</v>
      </c>
      <c r="V22" s="28">
        <f t="shared" si="13"/>
        <v>0</v>
      </c>
      <c r="W22" s="35" t="s">
        <v>55</v>
      </c>
      <c r="X22" s="28">
        <f>(R22*8%)</f>
        <v>0</v>
      </c>
      <c r="Y22" s="28">
        <f>(R22*20%)</f>
        <v>0</v>
      </c>
      <c r="Z22" s="28">
        <v>0</v>
      </c>
      <c r="AA22" s="28">
        <f>(Z22*65%)+Z22</f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f>(AL22*15%)</f>
        <v>0</v>
      </c>
      <c r="AN22" s="28">
        <v>0</v>
      </c>
      <c r="AO22" s="28">
        <v>0</v>
      </c>
      <c r="AP22" s="28">
        <v>0</v>
      </c>
      <c r="AQ22" s="28">
        <v>0</v>
      </c>
      <c r="AR22" s="28" t="s">
        <v>377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49"/>
      <c r="BC22" s="28"/>
      <c r="BD22" s="28"/>
      <c r="BE22" s="28"/>
      <c r="BF22" s="28"/>
      <c r="BG22" s="49"/>
      <c r="BH22" s="28"/>
      <c r="BI22" s="28"/>
    </row>
    <row r="23" spans="1:61" x14ac:dyDescent="0.25">
      <c r="AO23"/>
      <c r="AP23"/>
      <c r="AQ23"/>
      <c r="AX23"/>
      <c r="AY23"/>
      <c r="AZ23"/>
    </row>
    <row r="24" spans="1:61" x14ac:dyDescent="0.25">
      <c r="AO24"/>
      <c r="AP24"/>
      <c r="AQ24"/>
      <c r="AX24"/>
      <c r="AY24"/>
      <c r="AZ24"/>
    </row>
    <row r="25" spans="1:61" ht="15.75" customHeight="1" x14ac:dyDescent="0.35">
      <c r="T25" s="156" t="s">
        <v>373</v>
      </c>
      <c r="U25" s="157"/>
      <c r="V25" s="28" t="s">
        <v>116</v>
      </c>
      <c r="W25" s="35" t="s">
        <v>55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4</v>
      </c>
      <c r="AE25" s="53">
        <v>8</v>
      </c>
      <c r="AF25" s="53">
        <v>8</v>
      </c>
      <c r="AG25" s="53">
        <v>8</v>
      </c>
      <c r="AH25" s="53">
        <v>8</v>
      </c>
      <c r="AI25" s="53">
        <v>0</v>
      </c>
      <c r="AJ25" s="53">
        <v>8</v>
      </c>
      <c r="AK25" s="53">
        <v>4</v>
      </c>
      <c r="AL25" s="53">
        <v>30</v>
      </c>
      <c r="AM25" s="53">
        <v>2</v>
      </c>
      <c r="AN25" s="53">
        <v>2</v>
      </c>
      <c r="AO25" s="53">
        <v>1</v>
      </c>
      <c r="AP25" s="53">
        <v>1</v>
      </c>
      <c r="AQ25" s="53">
        <v>2</v>
      </c>
      <c r="AR25" s="53"/>
      <c r="AS25" s="53">
        <v>0</v>
      </c>
      <c r="AT25" s="53">
        <v>4</v>
      </c>
      <c r="AU25" s="53">
        <v>30</v>
      </c>
      <c r="AV25" s="53">
        <v>2</v>
      </c>
      <c r="AW25" s="53">
        <v>2</v>
      </c>
      <c r="AX25" s="53">
        <v>1</v>
      </c>
      <c r="AY25" s="53">
        <v>1</v>
      </c>
      <c r="AZ25" s="53">
        <v>2</v>
      </c>
      <c r="BA25" s="53"/>
      <c r="BB25" s="49"/>
      <c r="BC25" s="53">
        <v>8</v>
      </c>
      <c r="BD25" s="53">
        <v>16</v>
      </c>
      <c r="BE25" s="53">
        <v>6</v>
      </c>
      <c r="BF25" s="53">
        <v>6</v>
      </c>
      <c r="BG25" s="49"/>
    </row>
    <row r="26" spans="1:61" ht="15.75" customHeight="1" x14ac:dyDescent="0.35">
      <c r="T26" s="158"/>
      <c r="U26" s="159"/>
      <c r="V26" s="28" t="s">
        <v>117</v>
      </c>
      <c r="W26" s="35" t="s">
        <v>55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0</v>
      </c>
      <c r="AD26" s="53">
        <v>8</v>
      </c>
      <c r="AE26" s="53">
        <v>8</v>
      </c>
      <c r="AF26" s="53">
        <v>8</v>
      </c>
      <c r="AG26" s="53">
        <v>8</v>
      </c>
      <c r="AH26" s="53">
        <v>8</v>
      </c>
      <c r="AI26" s="53">
        <v>0</v>
      </c>
      <c r="AJ26" s="53">
        <v>8</v>
      </c>
      <c r="AK26" s="53">
        <v>4</v>
      </c>
      <c r="AL26" s="53">
        <v>30</v>
      </c>
      <c r="AM26" s="53">
        <v>2</v>
      </c>
      <c r="AN26" s="53">
        <v>2</v>
      </c>
      <c r="AO26" s="53">
        <v>1</v>
      </c>
      <c r="AP26" s="53">
        <v>1</v>
      </c>
      <c r="AQ26" s="53">
        <v>2</v>
      </c>
      <c r="AR26" s="53"/>
      <c r="AS26" s="53">
        <v>0</v>
      </c>
      <c r="AT26" s="53">
        <v>4</v>
      </c>
      <c r="AU26" s="53">
        <v>30</v>
      </c>
      <c r="AV26" s="53">
        <v>2</v>
      </c>
      <c r="AW26" s="53">
        <v>2</v>
      </c>
      <c r="AX26" s="53">
        <v>1</v>
      </c>
      <c r="AY26" s="53">
        <v>1</v>
      </c>
      <c r="AZ26" s="53">
        <v>2</v>
      </c>
      <c r="BA26" s="53"/>
      <c r="BB26" s="49"/>
      <c r="BC26" s="53">
        <v>8</v>
      </c>
      <c r="BD26" s="53">
        <v>16</v>
      </c>
      <c r="BE26" s="53">
        <v>6</v>
      </c>
      <c r="BF26" s="53">
        <v>6</v>
      </c>
      <c r="BG26" s="49"/>
    </row>
    <row r="27" spans="1:61" ht="15.75" customHeight="1" x14ac:dyDescent="0.35">
      <c r="B27" t="s">
        <v>367</v>
      </c>
      <c r="T27" s="158"/>
      <c r="U27" s="159"/>
      <c r="V27" s="28" t="s">
        <v>118</v>
      </c>
      <c r="W27" s="35" t="s">
        <v>55</v>
      </c>
      <c r="X27" s="53">
        <v>10</v>
      </c>
      <c r="Y27" s="53">
        <v>30</v>
      </c>
      <c r="Z27" s="53">
        <v>8</v>
      </c>
      <c r="AA27" s="53">
        <v>8</v>
      </c>
      <c r="AB27" s="53">
        <v>8</v>
      </c>
      <c r="AC27" s="53">
        <v>2</v>
      </c>
      <c r="AD27" s="53">
        <v>6</v>
      </c>
      <c r="AE27" s="53">
        <v>8</v>
      </c>
      <c r="AF27" s="53">
        <v>10</v>
      </c>
      <c r="AG27" s="53">
        <v>10</v>
      </c>
      <c r="AH27" s="53">
        <v>10</v>
      </c>
      <c r="AI27" s="53">
        <v>4</v>
      </c>
      <c r="AJ27" s="53">
        <v>8</v>
      </c>
      <c r="AK27" s="53">
        <v>5</v>
      </c>
      <c r="AL27" s="53">
        <v>20</v>
      </c>
      <c r="AM27" s="53">
        <v>4</v>
      </c>
      <c r="AN27" s="53">
        <v>4</v>
      </c>
      <c r="AO27" s="53">
        <v>2</v>
      </c>
      <c r="AP27" s="53">
        <v>4</v>
      </c>
      <c r="AQ27" s="53">
        <v>1</v>
      </c>
      <c r="AR27" s="53"/>
      <c r="AS27" s="53">
        <v>15</v>
      </c>
      <c r="AT27" s="53">
        <v>5</v>
      </c>
      <c r="AU27" s="53">
        <v>20</v>
      </c>
      <c r="AV27" s="53">
        <v>4</v>
      </c>
      <c r="AW27" s="53">
        <v>4</v>
      </c>
      <c r="AX27" s="53">
        <v>2</v>
      </c>
      <c r="AY27" s="53">
        <v>4</v>
      </c>
      <c r="AZ27" s="53">
        <v>1</v>
      </c>
      <c r="BA27" s="53"/>
      <c r="BB27" s="49"/>
      <c r="BC27" s="53">
        <v>8</v>
      </c>
      <c r="BD27" s="53">
        <v>16</v>
      </c>
      <c r="BE27" s="53">
        <v>6</v>
      </c>
      <c r="BF27" s="53">
        <v>6</v>
      </c>
      <c r="BG27" s="49"/>
    </row>
    <row r="28" spans="1:61" ht="15.75" customHeight="1" x14ac:dyDescent="0.35">
      <c r="T28" s="160"/>
      <c r="U28" s="161"/>
      <c r="V28" s="28" t="s">
        <v>119</v>
      </c>
      <c r="W28" s="35" t="s">
        <v>55</v>
      </c>
      <c r="X28" s="53">
        <v>30</v>
      </c>
      <c r="Y28" s="53">
        <v>90</v>
      </c>
      <c r="Z28" s="53">
        <v>24</v>
      </c>
      <c r="AA28" s="53">
        <v>24</v>
      </c>
      <c r="AB28" s="53">
        <v>20</v>
      </c>
      <c r="AC28" s="53">
        <v>1</v>
      </c>
      <c r="AD28" s="53">
        <v>4</v>
      </c>
      <c r="AE28" s="53">
        <v>50</v>
      </c>
      <c r="AF28" s="53">
        <v>10</v>
      </c>
      <c r="AG28" s="53">
        <v>5</v>
      </c>
      <c r="AH28" s="53">
        <v>5</v>
      </c>
      <c r="AI28" s="53">
        <v>0</v>
      </c>
      <c r="AJ28" s="53">
        <v>24</v>
      </c>
      <c r="AK28" s="53">
        <v>5</v>
      </c>
      <c r="AL28" s="53">
        <v>30</v>
      </c>
      <c r="AM28" s="53">
        <v>8</v>
      </c>
      <c r="AN28" s="53">
        <v>4</v>
      </c>
      <c r="AO28" s="53">
        <v>4</v>
      </c>
      <c r="AP28" s="53">
        <v>12</v>
      </c>
      <c r="AQ28" s="53">
        <v>8</v>
      </c>
      <c r="AR28" s="53"/>
      <c r="AS28" s="53">
        <v>3</v>
      </c>
      <c r="AT28" s="53">
        <v>5</v>
      </c>
      <c r="AU28" s="53">
        <v>30</v>
      </c>
      <c r="AV28" s="53">
        <v>8</v>
      </c>
      <c r="AW28" s="53">
        <v>4</v>
      </c>
      <c r="AX28" s="53">
        <v>4</v>
      </c>
      <c r="AY28" s="53">
        <v>12</v>
      </c>
      <c r="AZ28" s="53">
        <v>8</v>
      </c>
      <c r="BA28" s="53"/>
      <c r="BB28" s="49"/>
      <c r="BC28" s="53">
        <v>10</v>
      </c>
      <c r="BD28" s="53">
        <v>50</v>
      </c>
      <c r="BE28" s="53">
        <v>20</v>
      </c>
      <c r="BF28" s="53">
        <v>20</v>
      </c>
      <c r="BG28" s="49"/>
    </row>
    <row r="29" spans="1:61" ht="15.75" customHeight="1" x14ac:dyDescent="0.25">
      <c r="AO29"/>
      <c r="AP29"/>
      <c r="AQ29"/>
      <c r="AX29"/>
      <c r="AY29"/>
      <c r="AZ29"/>
    </row>
    <row r="30" spans="1:61" ht="15.75" customHeight="1" x14ac:dyDescent="0.25">
      <c r="AO30"/>
      <c r="AP30"/>
      <c r="AQ30"/>
      <c r="AX30"/>
      <c r="AY30"/>
      <c r="AZ30"/>
    </row>
    <row r="31" spans="1:61" ht="15.75" thickBot="1" x14ac:dyDescent="0.3">
      <c r="AO31"/>
      <c r="AP31"/>
      <c r="AQ31"/>
      <c r="AX31"/>
      <c r="AY31"/>
      <c r="AZ31"/>
    </row>
    <row r="32" spans="1:61" x14ac:dyDescent="0.25">
      <c r="A32" s="168" t="s">
        <v>372</v>
      </c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70"/>
      <c r="AO32"/>
      <c r="AP32"/>
      <c r="AQ32"/>
      <c r="AX32"/>
      <c r="AY32"/>
      <c r="AZ32"/>
    </row>
    <row r="33" spans="1:53" ht="20.25" customHeight="1" thickBot="1" x14ac:dyDescent="0.3">
      <c r="A33" s="171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3"/>
      <c r="AO33"/>
      <c r="AP33"/>
      <c r="AQ33"/>
      <c r="AX33"/>
      <c r="AY33"/>
      <c r="AZ33"/>
    </row>
    <row r="34" spans="1:53" ht="207.75" customHeight="1" x14ac:dyDescent="0.25">
      <c r="A34" s="113" t="s">
        <v>362</v>
      </c>
      <c r="B34" s="113" t="s">
        <v>14</v>
      </c>
      <c r="C34" s="174" t="s">
        <v>8</v>
      </c>
      <c r="D34" s="175"/>
      <c r="E34" s="175"/>
      <c r="F34" s="175"/>
      <c r="G34" s="175"/>
      <c r="H34" s="175"/>
      <c r="I34" s="176"/>
      <c r="J34" s="112" t="s">
        <v>21</v>
      </c>
      <c r="K34" s="30" t="s">
        <v>22</v>
      </c>
      <c r="L34" s="30" t="s">
        <v>23</v>
      </c>
      <c r="M34" s="30" t="s">
        <v>24</v>
      </c>
      <c r="N34" s="30" t="s">
        <v>25</v>
      </c>
      <c r="O34" s="30" t="s">
        <v>26</v>
      </c>
      <c r="P34" s="18" t="s">
        <v>27</v>
      </c>
      <c r="Q34" s="15" t="s">
        <v>28</v>
      </c>
      <c r="R34" s="20" t="s">
        <v>29</v>
      </c>
      <c r="S34" s="22" t="s">
        <v>30</v>
      </c>
      <c r="T34" s="21" t="s">
        <v>301</v>
      </c>
      <c r="U34" s="31" t="s">
        <v>31</v>
      </c>
      <c r="V34" s="31" t="s">
        <v>32</v>
      </c>
      <c r="AO34"/>
      <c r="AP34"/>
      <c r="AQ34"/>
      <c r="AX34"/>
      <c r="AY34"/>
      <c r="AZ34"/>
    </row>
    <row r="35" spans="1:53" ht="15.75" thickBot="1" x14ac:dyDescent="0.3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AO35"/>
      <c r="AP35"/>
      <c r="AQ35"/>
      <c r="AX35"/>
      <c r="AY35"/>
      <c r="AZ35"/>
    </row>
    <row r="36" spans="1:53" ht="20.100000000000001" customHeight="1" thickBot="1" x14ac:dyDescent="0.3">
      <c r="A36" s="177" t="s">
        <v>363</v>
      </c>
      <c r="B36" s="178"/>
      <c r="C36" s="181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3"/>
      <c r="AO36"/>
      <c r="AP36"/>
      <c r="AQ36"/>
      <c r="AX36"/>
      <c r="AY36"/>
      <c r="AZ36"/>
    </row>
    <row r="37" spans="1:53" ht="20.100000000000001" customHeight="1" thickBot="1" x14ac:dyDescent="0.3">
      <c r="A37" s="136">
        <v>2</v>
      </c>
      <c r="B37" s="145" cm="1">
        <f t="array" ref="B37">INDEX(B4:B20,$A$37,0)</f>
        <v>750</v>
      </c>
      <c r="C37" s="146" t="str" cm="1">
        <f t="array" ref="C37">INDEX(C4:C22,$A$37,0)</f>
        <v>FA.ST. 160.1-400 TV</v>
      </c>
      <c r="D37" s="146" t="str" cm="1">
        <f t="array" ref="D37">INDEX(D4:D22,$A$37,0)</f>
        <v>LANDUCCI/NICCOLAI</v>
      </c>
      <c r="E37" s="146" t="str" cm="1">
        <f t="array" ref="E37">INDEX(E4:E22,$A$37,0)</f>
        <v>TMU/8,5/ATR</v>
      </c>
      <c r="F37" s="146" t="str" cm="1">
        <f t="array" ref="F37">INDEX(F4:F22,$A$37,0)</f>
        <v>Z 400 STD</v>
      </c>
      <c r="G37" s="146" t="str" cm="1">
        <f t="array" ref="G37">INDEX(G4:G22,$A$37,0)</f>
        <v>TCM-ECOSYSTEM 7,1/9</v>
      </c>
      <c r="H37" s="146" t="str" cm="1">
        <f t="array" ref="H37">INDEX(H4:H22,$A$37,0)</f>
        <v>R.M.N. 2/1</v>
      </c>
      <c r="I37" s="146" cm="1">
        <f t="array" ref="I37">INDEX(I4:I22,$A$37,0)</f>
        <v>0</v>
      </c>
      <c r="J37" s="146" cm="1">
        <f t="array" ref="J37">INDEX(J4:J22,$A$37,0)</f>
        <v>80</v>
      </c>
      <c r="K37" s="146" cm="1">
        <f t="array" ref="K37">INDEX(K4:K22,$A$37,0)</f>
        <v>40</v>
      </c>
      <c r="L37" s="146" cm="1">
        <f t="array" ref="L37">INDEX(L4:L22,$A$37,0)</f>
        <v>40</v>
      </c>
      <c r="M37" s="146" cm="1">
        <f t="array" ref="M37">INDEX(M4:M22,$A$37,0)</f>
        <v>350</v>
      </c>
      <c r="N37" s="146" cm="1">
        <f t="array" ref="N37">INDEX(N4:N22,$A$37,0)</f>
        <v>30</v>
      </c>
      <c r="O37" s="146" cm="1">
        <f t="array" ref="O37">INDEX(O4:O22,$A$37,0)</f>
        <v>80</v>
      </c>
      <c r="P37" s="147" cm="1">
        <f t="array" ref="P37">INDEX(P4:P22,$A$37,0)</f>
        <v>20060</v>
      </c>
      <c r="Q37" s="147" cm="1">
        <f t="array" ref="Q37">INDEX(Q4:Q22,$A$37,0)</f>
        <v>25075</v>
      </c>
      <c r="R37" s="147" cm="1">
        <f t="array" ref="R37">INDEX(R4:R22,$A$37,0)</f>
        <v>61777.732000000004</v>
      </c>
      <c r="S37" s="147" cm="1">
        <f t="array" ref="S37">INDEX(S4:S22,$A$37,0)</f>
        <v>74133.27840000001</v>
      </c>
      <c r="T37" s="146" t="str" cm="1">
        <f t="array" ref="T37">INDEX(T4:T22,$A$37,0)</f>
        <v>A=4800 + B=2800</v>
      </c>
      <c r="U37" s="147" cm="1">
        <f t="array" ref="U37">INDEX(U4:U22,$A$37,0)</f>
        <v>81837.732000000004</v>
      </c>
      <c r="V37" s="147" cm="1">
        <f t="array" ref="V37">INDEX(V4:V22,$A$37,0)</f>
        <v>99208.27840000001</v>
      </c>
      <c r="X37" s="205" t="s">
        <v>374</v>
      </c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206"/>
      <c r="AM37" s="206"/>
      <c r="AN37" s="206"/>
      <c r="AO37" s="206"/>
      <c r="AP37" s="206"/>
      <c r="AQ37" s="206"/>
      <c r="AR37" s="206"/>
      <c r="AS37" s="207"/>
      <c r="AT37" s="135"/>
      <c r="AU37" s="135"/>
      <c r="AV37" s="135"/>
      <c r="AW37" s="135"/>
      <c r="AX37" s="135"/>
      <c r="AY37" s="135"/>
      <c r="AZ37" s="135"/>
      <c r="BA37" s="135"/>
    </row>
    <row r="38" spans="1:53" ht="20.100000000000001" customHeight="1" thickBot="1" x14ac:dyDescent="0.3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214"/>
      <c r="X38" s="208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10"/>
      <c r="AT38" s="135"/>
      <c r="AU38" s="135"/>
      <c r="AV38" s="135"/>
      <c r="AW38" s="135"/>
      <c r="AX38" s="135"/>
      <c r="AY38" s="135"/>
      <c r="AZ38" s="135"/>
      <c r="BA38" s="135"/>
    </row>
    <row r="39" spans="1:53" ht="20.100000000000001" customHeight="1" thickBot="1" x14ac:dyDescent="0.3">
      <c r="A39" s="212" t="s">
        <v>380</v>
      </c>
      <c r="B39" s="213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AO39"/>
      <c r="AP39"/>
      <c r="AQ39"/>
      <c r="AX39"/>
      <c r="AY39"/>
      <c r="AZ39"/>
    </row>
    <row r="40" spans="1:53" ht="20.100000000000001" customHeight="1" x14ac:dyDescent="0.25">
      <c r="A40" s="151" t="s">
        <v>367</v>
      </c>
      <c r="B40" s="150" t="s">
        <v>381</v>
      </c>
      <c r="C40" s="162" t="str" cm="1">
        <f t="array" ref="C40">IF($A40&gt;0,INDEX(VALORI!F3:F5, MATCH($A40,VALORI!E3:E5, 0),0)," ")</f>
        <v>Piano Normativo di riferimento - CE</v>
      </c>
      <c r="D40" s="163"/>
      <c r="E40" s="163"/>
      <c r="F40" s="163"/>
      <c r="G40" s="163"/>
      <c r="H40" s="163"/>
      <c r="I40" s="164"/>
      <c r="AO40"/>
      <c r="AP40"/>
      <c r="AQ40"/>
      <c r="AX40"/>
      <c r="AY40"/>
      <c r="AZ40"/>
    </row>
    <row r="41" spans="1:53" ht="20.100000000000001" customHeight="1" x14ac:dyDescent="0.25">
      <c r="B41" s="144"/>
      <c r="C41" s="187"/>
      <c r="D41" s="187"/>
      <c r="E41" s="187"/>
      <c r="F41" s="187"/>
      <c r="G41" s="187"/>
      <c r="H41" s="187"/>
      <c r="I41" s="187"/>
      <c r="AO41"/>
      <c r="AP41"/>
      <c r="AQ41"/>
      <c r="AX41"/>
      <c r="AY41"/>
      <c r="AZ41"/>
    </row>
    <row r="42" spans="1:53" ht="20.100000000000001" customHeight="1" thickBot="1" x14ac:dyDescent="0.3">
      <c r="AO42"/>
      <c r="AP42"/>
      <c r="AQ42"/>
      <c r="AX42"/>
      <c r="AY42"/>
      <c r="AZ42"/>
    </row>
    <row r="43" spans="1:53" ht="20.100000000000001" customHeight="1" thickBot="1" x14ac:dyDescent="0.3">
      <c r="A43" s="179" t="s">
        <v>364</v>
      </c>
      <c r="B43" s="180"/>
      <c r="C43" s="184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6"/>
      <c r="AO43"/>
      <c r="AP43"/>
      <c r="AQ43"/>
      <c r="AX43"/>
      <c r="AY43"/>
      <c r="AZ43"/>
    </row>
    <row r="44" spans="1:53" ht="20.100000000000001" customHeight="1" x14ac:dyDescent="0.25">
      <c r="A44" s="118">
        <v>1</v>
      </c>
      <c r="B44" s="116"/>
      <c r="C44" s="162" t="str" cm="1">
        <f t="array" ref="C44">IF($A44 &gt; 0, INDEX($X$2:$AS$2, 0, $A44), " ")</f>
        <v>Alimentaizone Speciale (380/440V 60Hz)</v>
      </c>
      <c r="D44" s="163"/>
      <c r="E44" s="163"/>
      <c r="F44" s="163"/>
      <c r="G44" s="163"/>
      <c r="H44" s="163"/>
      <c r="I44" s="164"/>
      <c r="J44" s="137" cm="1">
        <f t="array" ref="J44">IF($A44 &gt; 0, INDEX($X$25:$AS$28,3, $A44), "")</f>
        <v>10</v>
      </c>
      <c r="K44" s="137" cm="1">
        <f t="array" ref="K44">IF($A44 &gt; 0, INDEX($X$25:$AS$28,1, $A44), "")</f>
        <v>0</v>
      </c>
      <c r="L44" s="137" cm="1">
        <f t="array" ref="L44">IF($A44 &gt; 0, INDEX($X$25:$AS$28,2, $A44), "")</f>
        <v>0</v>
      </c>
      <c r="M44" s="137" cm="1">
        <f t="array" ref="M44">IF($A44 &gt; 0, INDEX($X$25:$AS$28,4, $A44), "")</f>
        <v>30</v>
      </c>
      <c r="N44" s="137"/>
      <c r="O44" s="137"/>
      <c r="P44" s="138">
        <f>IF($A44 &gt; 0,(VALORI!B$3 * 'PASTA CORTA - ECOSYSTEM'!J44) + (VALORI!B$4 * 'PASTA CORTA - ECOSYSTEM'!K44) + (VALORI!B$4 * 'PASTA CORTA - ECOSYSTEM'!L44) + (VALORI!B$5 * 'PASTA CORTA - ECOSYSTEM'!M44) + (VALORI!B$6 * 'PASTA CORTA - ECOSYSTEM'!N44) + (VALORI!B$7 * 'PASTA CORTA - ECOSYSTEM'!O44), "")</f>
        <v>1240</v>
      </c>
      <c r="Q44" s="138">
        <f t="shared" ref="Q44:Q67" si="14">IF($A44 &gt; 0,(P44*25%)+P44,"")</f>
        <v>1550</v>
      </c>
      <c r="R44" s="138">
        <f t="shared" ref="R44:R67" si="15">IF($A44 &gt; 0,U44-P44,"")</f>
        <v>3702.2185600000003</v>
      </c>
      <c r="S44" s="138">
        <f t="shared" ref="S44:S67" si="16">IF($A44 &gt; 0,(R44*20%)+R44,"")</f>
        <v>4442.6622720000005</v>
      </c>
      <c r="T44" s="139"/>
      <c r="U44" s="138" cm="1">
        <f t="array" ref="U44">IF($A44 &gt; 0,INDEX($X$4:$AS$20,$A$37, $A44),"")</f>
        <v>4942.2185600000003</v>
      </c>
      <c r="V44" s="138">
        <f t="shared" ref="V44:V67" si="17">IF($A44 &gt; 0,Q44+S44,"")</f>
        <v>5992.6622720000005</v>
      </c>
      <c r="X44" s="85">
        <v>44731</v>
      </c>
      <c r="Y44" t="s">
        <v>303</v>
      </c>
      <c r="Z44" s="85" t="s">
        <v>344</v>
      </c>
      <c r="AA44" t="s">
        <v>345</v>
      </c>
      <c r="AO44"/>
      <c r="AP44"/>
      <c r="AQ44"/>
      <c r="AX44"/>
      <c r="AY44"/>
      <c r="AZ44"/>
    </row>
    <row r="45" spans="1:53" ht="20.100000000000001" customHeight="1" x14ac:dyDescent="0.25">
      <c r="A45" s="118">
        <v>2</v>
      </c>
      <c r="B45" s="123"/>
      <c r="C45" s="165" t="str" cm="1">
        <f t="array" ref="C45">IF($A45 &gt; 0, INDEX($X$2:$AS$2, 0, $A45), " ")</f>
        <v>Alimentaizone Speciale (220V 50/60Hz)</v>
      </c>
      <c r="D45" s="166"/>
      <c r="E45" s="166"/>
      <c r="F45" s="166"/>
      <c r="G45" s="166"/>
      <c r="H45" s="166"/>
      <c r="I45" s="167"/>
      <c r="J45" s="140" cm="1">
        <f t="array" ref="J45">IF($A45 &gt; 0, INDEX($X$25:$AS$28,3, $A45), "")</f>
        <v>30</v>
      </c>
      <c r="K45" s="140" cm="1">
        <f t="array" ref="K45">IF($A45 &gt; 0, INDEX($X$25:$AS$28,1, $A45), "")</f>
        <v>0</v>
      </c>
      <c r="L45" s="140" cm="1">
        <f t="array" ref="L45">IF($A45 &gt; 0, INDEX($X$25:$AS$28,2, $A45), "")</f>
        <v>0</v>
      </c>
      <c r="M45" s="140" cm="1">
        <f t="array" ref="M45">IF($A45 &gt; 0, INDEX($X$25:$AS$28,4, $A45), "")</f>
        <v>90</v>
      </c>
      <c r="N45" s="140"/>
      <c r="O45" s="140"/>
      <c r="P45" s="141">
        <f>IF($A45 &gt; 0,(VALORI!B$3 * 'PASTA CORTA - ECOSYSTEM'!J45) + (VALORI!B$4 * 'PASTA CORTA - ECOSYSTEM'!K45) + (VALORI!B$4 * 'PASTA CORTA - ECOSYSTEM'!L45) + (VALORI!B$5 * 'PASTA CORTA - ECOSYSTEM'!M45) + (VALORI!B$6 * 'PASTA CORTA - ECOSYSTEM'!N45) + (VALORI!B$7 * 'PASTA CORTA - ECOSYSTEM'!O45), "")</f>
        <v>3720</v>
      </c>
      <c r="Q45" s="141">
        <f t="shared" si="14"/>
        <v>4650</v>
      </c>
      <c r="R45" s="141">
        <f t="shared" si="15"/>
        <v>8635.5464000000011</v>
      </c>
      <c r="S45" s="141">
        <f t="shared" si="16"/>
        <v>10362.655680000002</v>
      </c>
      <c r="T45" s="142"/>
      <c r="U45" s="141" cm="1">
        <f t="array" ref="U45">IF($A45 &gt; 0,INDEX($X$4:$AS$20,$A$37, $A45),"")</f>
        <v>12355.546400000001</v>
      </c>
      <c r="V45" s="141">
        <f t="shared" si="17"/>
        <v>15012.655680000002</v>
      </c>
      <c r="X45" s="25">
        <v>0</v>
      </c>
      <c r="Y45" s="25">
        <f>(X45*10%)+X45</f>
        <v>0</v>
      </c>
      <c r="Z45" s="25">
        <f>(Y45*4%)+Y45</f>
        <v>0</v>
      </c>
      <c r="AA45" s="25">
        <f>(Z45*3%)+Z45</f>
        <v>0</v>
      </c>
      <c r="AO45"/>
      <c r="AP45"/>
      <c r="AQ45"/>
      <c r="AX45"/>
      <c r="AY45"/>
      <c r="AZ45"/>
    </row>
    <row r="46" spans="1:53" ht="20.100000000000001" customHeight="1" x14ac:dyDescent="0.25">
      <c r="A46" s="118">
        <v>3</v>
      </c>
      <c r="B46" s="116"/>
      <c r="C46" s="162" t="str" cm="1">
        <f t="array" ref="C46">IF($A46 &gt; 0, INDEX($X$2:$AS$2, 0, $A46), " ")</f>
        <v>QE Climatizzati - Climatizzatori da tetto</v>
      </c>
      <c r="D46" s="163"/>
      <c r="E46" s="163"/>
      <c r="F46" s="163"/>
      <c r="G46" s="163"/>
      <c r="H46" s="163"/>
      <c r="I46" s="164"/>
      <c r="J46" s="137" cm="1">
        <f t="array" ref="J46">IF($A46 &gt; 0, INDEX($X$25:$AS$28,3, $A46), "")</f>
        <v>8</v>
      </c>
      <c r="K46" s="137" cm="1">
        <f t="array" ref="K46">IF($A46 &gt; 0, INDEX($X$25:$AS$28,1, $A46), "")</f>
        <v>0</v>
      </c>
      <c r="L46" s="137" cm="1">
        <f t="array" ref="L46">IF($A46 &gt; 0, INDEX($X$25:$AS$28,2, $A46), "")</f>
        <v>0</v>
      </c>
      <c r="M46" s="137" cm="1">
        <f t="array" ref="M46">IF($A46 &gt; 0, INDEX($X$25:$AS$28,4, $A46), "")</f>
        <v>24</v>
      </c>
      <c r="N46" s="137"/>
      <c r="O46" s="137"/>
      <c r="P46" s="143">
        <f>IF($A46 &gt; 0,(VALORI!B$3 * 'PASTA CORTA - ECOSYSTEM'!J46) + (VALORI!B$4 * 'PASTA CORTA - ECOSYSTEM'!K46) + (VALORI!B$4 * 'PASTA CORTA - ECOSYSTEM'!L46) + (VALORI!B$5 * 'PASTA CORTA - ECOSYSTEM'!M46) + (VALORI!B$6 * 'PASTA CORTA - ECOSYSTEM'!N46) + (VALORI!B$7 * 'PASTA CORTA - ECOSYSTEM'!O46), "")</f>
        <v>992</v>
      </c>
      <c r="Q46" s="143">
        <f t="shared" si="14"/>
        <v>1240</v>
      </c>
      <c r="R46" s="143">
        <f t="shared" si="15"/>
        <v>5008</v>
      </c>
      <c r="S46" s="143">
        <f t="shared" si="16"/>
        <v>6009.6</v>
      </c>
      <c r="T46" s="139"/>
      <c r="U46" s="143" cm="1">
        <f t="array" ref="U46">IF($A46 &gt; 0,INDEX($X$4:$AS$20,$A$37, $A46),"")</f>
        <v>6000</v>
      </c>
      <c r="V46" s="143">
        <f t="shared" si="17"/>
        <v>7249.6</v>
      </c>
      <c r="X46" s="25"/>
      <c r="Y46" s="25"/>
      <c r="Z46" s="25"/>
      <c r="AA46" s="25"/>
      <c r="AO46"/>
      <c r="AP46"/>
      <c r="AQ46"/>
      <c r="AX46"/>
      <c r="AY46"/>
      <c r="AZ46"/>
    </row>
    <row r="47" spans="1:53" ht="20.100000000000001" customHeight="1" x14ac:dyDescent="0.25">
      <c r="A47" s="118">
        <v>4</v>
      </c>
      <c r="B47" s="123"/>
      <c r="C47" s="165" t="str" cm="1">
        <f t="array" ref="C47">IF($A47 &gt; 0, INDEX($X$2:$AS$2, 0, $A47), " ")</f>
        <v>QE Climatizzati - Climatizzatori da parete</v>
      </c>
      <c r="D47" s="166"/>
      <c r="E47" s="166"/>
      <c r="F47" s="166"/>
      <c r="G47" s="166"/>
      <c r="H47" s="166"/>
      <c r="I47" s="167"/>
      <c r="J47" s="140" cm="1">
        <f t="array" ref="J47">IF($A47 &gt; 0, INDEX($X$25:$AS$28,3, $A47), "")</f>
        <v>8</v>
      </c>
      <c r="K47" s="140" cm="1">
        <f t="array" ref="K47">IF($A47 &gt; 0, INDEX($X$25:$AS$28,1, $A47), "")</f>
        <v>0</v>
      </c>
      <c r="L47" s="140" cm="1">
        <f t="array" ref="L47">IF($A47 &gt; 0, INDEX($X$25:$AS$28,2, $A47), "")</f>
        <v>0</v>
      </c>
      <c r="M47" s="140" cm="1">
        <f t="array" ref="M47">IF($A47 &gt; 0, INDEX($X$25:$AS$28,4, $A47), "")</f>
        <v>24</v>
      </c>
      <c r="N47" s="140"/>
      <c r="O47" s="140"/>
      <c r="P47" s="141">
        <f>IF($A47 &gt; 0,(VALORI!B$3 * 'PASTA CORTA - ECOSYSTEM'!J47) + (VALORI!B$4 * 'PASTA CORTA - ECOSYSTEM'!K47) + (VALORI!B$4 * 'PASTA CORTA - ECOSYSTEM'!L47) + (VALORI!B$5 * 'PASTA CORTA - ECOSYSTEM'!M47) + (VALORI!B$6 * 'PASTA CORTA - ECOSYSTEM'!N47) + (VALORI!B$7 * 'PASTA CORTA - ECOSYSTEM'!O47), "")</f>
        <v>992</v>
      </c>
      <c r="Q47" s="141">
        <f t="shared" si="14"/>
        <v>1240</v>
      </c>
      <c r="R47" s="141">
        <f t="shared" si="15"/>
        <v>8908</v>
      </c>
      <c r="S47" s="141">
        <f t="shared" si="16"/>
        <v>10689.6</v>
      </c>
      <c r="T47" s="142"/>
      <c r="U47" s="141" cm="1">
        <f t="array" ref="U47">IF($A47 &gt; 0,INDEX($X$4:$AS$20,$A$37, $A47),"")</f>
        <v>9900</v>
      </c>
      <c r="V47" s="141">
        <f t="shared" si="17"/>
        <v>11929.6</v>
      </c>
      <c r="X47" s="25">
        <v>0</v>
      </c>
      <c r="Y47" s="25">
        <f>(X47*10%)+X47</f>
        <v>0</v>
      </c>
      <c r="Z47" s="25">
        <f>(Y47*4%)+Y47</f>
        <v>0</v>
      </c>
      <c r="AA47" s="25">
        <f t="shared" ref="AA47:AA62" si="18">(Z47*3%)+Z47</f>
        <v>0</v>
      </c>
      <c r="AO47"/>
      <c r="AP47"/>
      <c r="AQ47"/>
      <c r="AX47"/>
      <c r="AY47"/>
      <c r="AZ47"/>
    </row>
    <row r="48" spans="1:53" ht="20.100000000000001" customHeight="1" x14ac:dyDescent="0.25">
      <c r="A48" s="118">
        <v>5</v>
      </c>
      <c r="B48" s="116"/>
      <c r="C48" s="162" t="str" cm="1">
        <f t="array" ref="C48">IF($A48 &gt; 0, INDEX($X$2:$AS$2, 0, $A48), " ")</f>
        <v>Box Climatizzato per Sistema di Supervisione</v>
      </c>
      <c r="D48" s="163"/>
      <c r="E48" s="163"/>
      <c r="F48" s="163"/>
      <c r="G48" s="163"/>
      <c r="H48" s="163"/>
      <c r="I48" s="164"/>
      <c r="J48" s="137" cm="1">
        <f t="array" ref="J48">IF($A48 &gt; 0, INDEX($X$25:$AS$28,3, $A48), "")</f>
        <v>8</v>
      </c>
      <c r="K48" s="137" cm="1">
        <f t="array" ref="K48">IF($A48 &gt; 0, INDEX($X$25:$AS$28,1, $A48), "")</f>
        <v>0</v>
      </c>
      <c r="L48" s="137" cm="1">
        <f t="array" ref="L48">IF($A48 &gt; 0, INDEX($X$25:$AS$28,2, $A48), "")</f>
        <v>0</v>
      </c>
      <c r="M48" s="137" cm="1">
        <f t="array" ref="M48">IF($A48 &gt; 0, INDEX($X$25:$AS$28,4, $A48), "")</f>
        <v>20</v>
      </c>
      <c r="N48" s="137"/>
      <c r="O48" s="137"/>
      <c r="P48" s="138">
        <f>IF($A48 &gt; 0,(VALORI!B$3 * 'PASTA CORTA - ECOSYSTEM'!J48) + (VALORI!B$4 * 'PASTA CORTA - ECOSYSTEM'!K48) + (VALORI!B$4 * 'PASTA CORTA - ECOSYSTEM'!L48) + (VALORI!B$5 * 'PASTA CORTA - ECOSYSTEM'!M48) + (VALORI!B$6 * 'PASTA CORTA - ECOSYSTEM'!N48) + (VALORI!B$7 * 'PASTA CORTA - ECOSYSTEM'!O48), "")</f>
        <v>876</v>
      </c>
      <c r="Q48" s="138">
        <f t="shared" si="14"/>
        <v>1095</v>
      </c>
      <c r="R48" s="138">
        <f t="shared" si="15"/>
        <v>2924</v>
      </c>
      <c r="S48" s="138">
        <f t="shared" si="16"/>
        <v>3508.8</v>
      </c>
      <c r="T48" s="139"/>
      <c r="U48" s="138" cm="1">
        <f t="array" ref="U48">IF($A48 &gt; 0,INDEX($X$4:$AS$20,$A$37, $A48),"")</f>
        <v>3800</v>
      </c>
      <c r="V48" s="138">
        <f t="shared" si="17"/>
        <v>4603.8</v>
      </c>
      <c r="X48" s="25">
        <v>52850</v>
      </c>
      <c r="Y48" s="25">
        <f>(X48*10%)+X48</f>
        <v>58135</v>
      </c>
      <c r="Z48" s="25">
        <f t="shared" ref="Z48:Z62" si="19">(Y48*4%)+Y48</f>
        <v>60460.4</v>
      </c>
      <c r="AA48" s="25">
        <f t="shared" si="18"/>
        <v>62274.212</v>
      </c>
      <c r="AO48"/>
      <c r="AP48"/>
      <c r="AQ48"/>
      <c r="AX48"/>
      <c r="AY48"/>
      <c r="AZ48"/>
    </row>
    <row r="49" spans="1:27" customFormat="1" ht="20.100000000000001" customHeight="1" x14ac:dyDescent="0.25">
      <c r="A49" s="118">
        <v>6</v>
      </c>
      <c r="B49" s="123"/>
      <c r="C49" s="165" t="str" cm="1">
        <f t="array" ref="C49">IF($A49 &gt; 0, INDEX($X$2:$AS$2, 0, $A49), " ")</f>
        <v>2° Stazione di supervisione</v>
      </c>
      <c r="D49" s="166"/>
      <c r="E49" s="166"/>
      <c r="F49" s="166"/>
      <c r="G49" s="166"/>
      <c r="H49" s="166"/>
      <c r="I49" s="167"/>
      <c r="J49" s="140" cm="1">
        <f t="array" ref="J49">IF($A49 &gt; 0, INDEX($X$25:$AS$28,3, $A49), "")</f>
        <v>2</v>
      </c>
      <c r="K49" s="140" cm="1">
        <f t="array" ref="K49">IF($A49 &gt; 0, INDEX($X$25:$AS$28,1, $A49), "")</f>
        <v>0</v>
      </c>
      <c r="L49" s="140" cm="1">
        <f t="array" ref="L49">IF($A49 &gt; 0, INDEX($X$25:$AS$28,2, $A49), "")</f>
        <v>0</v>
      </c>
      <c r="M49" s="140" cm="1">
        <f t="array" ref="M49">IF($A49 &gt; 0, INDEX($X$25:$AS$28,4, $A49), "")</f>
        <v>1</v>
      </c>
      <c r="N49" s="140"/>
      <c r="O49" s="140"/>
      <c r="P49" s="141">
        <f>IF($A49 &gt; 0,(VALORI!B$3 * 'PASTA CORTA - ECOSYSTEM'!J49) + (VALORI!B$4 * 'PASTA CORTA - ECOSYSTEM'!K49) + (VALORI!B$4 * 'PASTA CORTA - ECOSYSTEM'!L49) + (VALORI!B$5 * 'PASTA CORTA - ECOSYSTEM'!M49) + (VALORI!B$6 * 'PASTA CORTA - ECOSYSTEM'!N49) + (VALORI!B$7 * 'PASTA CORTA - ECOSYSTEM'!O49), "")</f>
        <v>103</v>
      </c>
      <c r="Q49" s="141">
        <f t="shared" si="14"/>
        <v>128.75</v>
      </c>
      <c r="R49" s="141">
        <f t="shared" si="15"/>
        <v>5397</v>
      </c>
      <c r="S49" s="141">
        <f t="shared" si="16"/>
        <v>6476.4</v>
      </c>
      <c r="T49" s="142"/>
      <c r="U49" s="141" cm="1">
        <f t="array" ref="U49">IF($A49 &gt; 0,INDEX($X$4:$AS$20,$A$37, $A49),"")</f>
        <v>5500</v>
      </c>
      <c r="V49" s="141">
        <f t="shared" si="17"/>
        <v>6605.15</v>
      </c>
      <c r="X49" s="25">
        <v>55650</v>
      </c>
      <c r="Y49" s="25">
        <f t="shared" ref="Y49:Y62" si="20">(X49*10%)+X49</f>
        <v>61215</v>
      </c>
      <c r="Z49" s="25">
        <f t="shared" si="19"/>
        <v>63663.6</v>
      </c>
      <c r="AA49" s="25">
        <f t="shared" si="18"/>
        <v>65573.508000000002</v>
      </c>
    </row>
    <row r="50" spans="1:27" customFormat="1" ht="20.100000000000001" customHeight="1" x14ac:dyDescent="0.25">
      <c r="A50" s="118">
        <v>6</v>
      </c>
      <c r="B50" s="116"/>
      <c r="C50" s="162" t="str" cm="1">
        <f t="array" ref="C50">IF($A50 &gt; 0, INDEX($X$2:$AS$2, 0, $A50), " ")</f>
        <v>2° Stazione di supervisione</v>
      </c>
      <c r="D50" s="163"/>
      <c r="E50" s="163"/>
      <c r="F50" s="163"/>
      <c r="G50" s="163"/>
      <c r="H50" s="163"/>
      <c r="I50" s="164"/>
      <c r="J50" s="137" cm="1">
        <f t="array" ref="J50">IF($A50 &gt; 0, INDEX($X$25:$AS$28,3, $A50), "")</f>
        <v>2</v>
      </c>
      <c r="K50" s="137" cm="1">
        <f t="array" ref="K50">IF($A50 &gt; 0, INDEX($X$25:$AS$28,1, $A50), "")</f>
        <v>0</v>
      </c>
      <c r="L50" s="137" cm="1">
        <f t="array" ref="L50">IF($A50 &gt; 0, INDEX($X$25:$AS$28,2, $A50), "")</f>
        <v>0</v>
      </c>
      <c r="M50" s="137" cm="1">
        <f t="array" ref="M50">IF($A50 &gt; 0, INDEX($X$25:$AS$28,4, $A50), "")</f>
        <v>1</v>
      </c>
      <c r="N50" s="137"/>
      <c r="O50" s="137"/>
      <c r="P50" s="138">
        <f>IF($A50 &gt; 0,(VALORI!B$3 * 'PASTA CORTA - ECOSYSTEM'!J50) + (VALORI!B$4 * 'PASTA CORTA - ECOSYSTEM'!K50) + (VALORI!B$4 * 'PASTA CORTA - ECOSYSTEM'!L50) + (VALORI!B$5 * 'PASTA CORTA - ECOSYSTEM'!M50) + (VALORI!B$6 * 'PASTA CORTA - ECOSYSTEM'!N50) + (VALORI!B$7 * 'PASTA CORTA - ECOSYSTEM'!O50), "")</f>
        <v>103</v>
      </c>
      <c r="Q50" s="138">
        <f t="shared" si="14"/>
        <v>128.75</v>
      </c>
      <c r="R50" s="138">
        <f t="shared" si="15"/>
        <v>5397</v>
      </c>
      <c r="S50" s="138">
        <f t="shared" si="16"/>
        <v>6476.4</v>
      </c>
      <c r="T50" s="139"/>
      <c r="U50" s="138" cm="1">
        <f t="array" ref="U50">IF($A50 &gt; 0,INDEX($X$4:$AS$20,$A$37, $A50),"")</f>
        <v>5500</v>
      </c>
      <c r="V50" s="138">
        <f t="shared" si="17"/>
        <v>6605.15</v>
      </c>
      <c r="X50" s="25">
        <v>57750</v>
      </c>
      <c r="Y50" s="25">
        <f t="shared" si="20"/>
        <v>63525</v>
      </c>
      <c r="Z50" s="25">
        <f t="shared" si="19"/>
        <v>66066</v>
      </c>
      <c r="AA50" s="25">
        <f t="shared" si="18"/>
        <v>68047.98</v>
      </c>
    </row>
    <row r="51" spans="1:27" customFormat="1" ht="20.100000000000001" customHeight="1" x14ac:dyDescent="0.25">
      <c r="A51" s="118">
        <v>7</v>
      </c>
      <c r="B51" s="123"/>
      <c r="C51" s="165" t="str" cm="1">
        <f t="array" ref="C51">IF($A51 &gt; 0, INDEX($X$2:$AS$2, 0, $A51), " ")</f>
        <v>Gestione Dosaggio Semola Gravimetrico (Acquisizione Celle + Hw + Sw)</v>
      </c>
      <c r="D51" s="166"/>
      <c r="E51" s="166"/>
      <c r="F51" s="166"/>
      <c r="G51" s="166"/>
      <c r="H51" s="166"/>
      <c r="I51" s="167"/>
      <c r="J51" s="140" cm="1">
        <f t="array" ref="J51">IF($A51 &gt; 0, INDEX($X$25:$AS$28,3, $A51), "")</f>
        <v>6</v>
      </c>
      <c r="K51" s="140" cm="1">
        <f t="array" ref="K51">IF($A51 &gt; 0, INDEX($X$25:$AS$28,1, $A51), "")</f>
        <v>4</v>
      </c>
      <c r="L51" s="140" cm="1">
        <f t="array" ref="L51">IF($A51 &gt; 0, INDEX($X$25:$AS$28,2, $A51), "")</f>
        <v>8</v>
      </c>
      <c r="M51" s="140" cm="1">
        <f t="array" ref="M51">IF($A51 &gt; 0, INDEX($X$25:$AS$28,4, $A51), "")</f>
        <v>4</v>
      </c>
      <c r="N51" s="140"/>
      <c r="O51" s="140"/>
      <c r="P51" s="141">
        <f>IF($A51 &gt; 0,(VALORI!B$3 * 'PASTA CORTA - ECOSYSTEM'!J51) + (VALORI!B$4 * 'PASTA CORTA - ECOSYSTEM'!K51) + (VALORI!B$4 * 'PASTA CORTA - ECOSYSTEM'!L51) + (VALORI!B$5 * 'PASTA CORTA - ECOSYSTEM'!M51) + (VALORI!B$6 * 'PASTA CORTA - ECOSYSTEM'!N51) + (VALORI!B$7 * 'PASTA CORTA - ECOSYSTEM'!O51), "")</f>
        <v>794</v>
      </c>
      <c r="Q51" s="141">
        <f t="shared" si="14"/>
        <v>992.5</v>
      </c>
      <c r="R51" s="141">
        <f t="shared" si="15"/>
        <v>506</v>
      </c>
      <c r="S51" s="141">
        <f t="shared" si="16"/>
        <v>607.20000000000005</v>
      </c>
      <c r="T51" s="142"/>
      <c r="U51" s="141" cm="1">
        <f t="array" ref="U51">IF($A51 &gt; 0,INDEX($X$4:$AS$20,$A$37, $A51),"")</f>
        <v>1300</v>
      </c>
      <c r="V51" s="141">
        <f t="shared" si="17"/>
        <v>1599.7</v>
      </c>
      <c r="X51" s="25">
        <v>58800</v>
      </c>
      <c r="Y51" s="25">
        <f t="shared" si="20"/>
        <v>64680</v>
      </c>
      <c r="Z51" s="25">
        <f t="shared" si="19"/>
        <v>67267.199999999997</v>
      </c>
      <c r="AA51" s="25">
        <f t="shared" si="18"/>
        <v>69285.216</v>
      </c>
    </row>
    <row r="52" spans="1:27" customFormat="1" ht="20.100000000000001" customHeight="1" x14ac:dyDescent="0.25">
      <c r="A52" s="118">
        <v>8</v>
      </c>
      <c r="B52" s="116"/>
      <c r="C52" s="162" t="str" cm="1">
        <f t="array" ref="C52">IF($A52 &gt; 0, INDEX($X$2:$AS$2, 0, $A52), " ")</f>
        <v>Gestione Additivi - 1 Componente Liquido - Pompa Peristaltica + Tank con Miscelatore - Integrazione in QE + QE Preparazione</v>
      </c>
      <c r="D52" s="163"/>
      <c r="E52" s="163"/>
      <c r="F52" s="163"/>
      <c r="G52" s="163"/>
      <c r="H52" s="163"/>
      <c r="I52" s="164"/>
      <c r="J52" s="137" cm="1">
        <f t="array" ref="J52">IF($A52 &gt; 0, INDEX($X$25:$AS$28,3, $A52), "")</f>
        <v>8</v>
      </c>
      <c r="K52" s="137" cm="1">
        <f t="array" ref="K52">IF($A52 &gt; 0, INDEX($X$25:$AS$28,1, $A52), "")</f>
        <v>8</v>
      </c>
      <c r="L52" s="137" cm="1">
        <f t="array" ref="L52">IF($A52 &gt; 0, INDEX($X$25:$AS$28,2, $A52), "")</f>
        <v>8</v>
      </c>
      <c r="M52" s="137" cm="1">
        <f t="array" ref="M52">IF($A52 &gt; 0, INDEX($X$25:$AS$28,4, $A52), "")</f>
        <v>50</v>
      </c>
      <c r="N52" s="137"/>
      <c r="O52" s="137"/>
      <c r="P52" s="138">
        <f>IF($A52 &gt; 0,(VALORI!B$3 * 'PASTA CORTA - ECOSYSTEM'!J52) + (VALORI!B$4 * 'PASTA CORTA - ECOSYSTEM'!K52) + (VALORI!B$4 * 'PASTA CORTA - ECOSYSTEM'!L52) + (VALORI!B$5 * 'PASTA CORTA - ECOSYSTEM'!M52) + (VALORI!B$6 * 'PASTA CORTA - ECOSYSTEM'!N52) + (VALORI!B$7 * 'PASTA CORTA - ECOSYSTEM'!O52), "")</f>
        <v>2354</v>
      </c>
      <c r="Q52" s="138">
        <f t="shared" si="14"/>
        <v>2942.5</v>
      </c>
      <c r="R52" s="138">
        <f t="shared" si="15"/>
        <v>5646</v>
      </c>
      <c r="S52" s="138">
        <f t="shared" si="16"/>
        <v>6775.2</v>
      </c>
      <c r="T52" s="139"/>
      <c r="U52" s="138" cm="1">
        <f t="array" ref="U52">IF($A52 &gt; 0,INDEX($X$4:$AS$20,$A$37, $A52),"")</f>
        <v>8000</v>
      </c>
      <c r="V52" s="138">
        <f t="shared" si="17"/>
        <v>9717.7000000000007</v>
      </c>
      <c r="X52" s="25">
        <v>60900</v>
      </c>
      <c r="Y52" s="25">
        <f t="shared" si="20"/>
        <v>66990</v>
      </c>
      <c r="Z52" s="25">
        <f>(Y52*4%)+Y52</f>
        <v>69669.600000000006</v>
      </c>
      <c r="AA52" s="25">
        <f t="shared" si="18"/>
        <v>71759.688000000009</v>
      </c>
    </row>
    <row r="53" spans="1:27" customFormat="1" ht="20.100000000000001" customHeight="1" x14ac:dyDescent="0.25">
      <c r="A53" s="118">
        <v>9</v>
      </c>
      <c r="B53" s="123"/>
      <c r="C53" s="165" t="str" cm="1">
        <f t="array" ref="C53">IF($A53 &gt; 0, INDEX($X$2:$AS$2, 0, $A53), " ")</f>
        <v>Gestione Additivi - 1 Componente Secco - Microdosatore Volumetrico Storci- Integrazione in QE</v>
      </c>
      <c r="D53" s="166"/>
      <c r="E53" s="166"/>
      <c r="F53" s="166"/>
      <c r="G53" s="166"/>
      <c r="H53" s="166"/>
      <c r="I53" s="167"/>
      <c r="J53" s="140" cm="1">
        <f t="array" ref="J53">IF($A53 &gt; 0, INDEX($X$25:$AS$28,3, $A53), "")</f>
        <v>10</v>
      </c>
      <c r="K53" s="140" cm="1">
        <f t="array" ref="K53">IF($A53 &gt; 0, INDEX($X$25:$AS$28,1, $A53), "")</f>
        <v>8</v>
      </c>
      <c r="L53" s="140" cm="1">
        <f t="array" ref="L53">IF($A53 &gt; 0, INDEX($X$25:$AS$28,2, $A53), "")</f>
        <v>8</v>
      </c>
      <c r="M53" s="140" cm="1">
        <f t="array" ref="M53">IF($A53 &gt; 0, INDEX($X$25:$AS$28,4, $A53), "")</f>
        <v>10</v>
      </c>
      <c r="N53" s="140"/>
      <c r="O53" s="140"/>
      <c r="P53" s="141">
        <f>IF($A53 &gt; 0,(VALORI!B$3 * 'PASTA CORTA - ECOSYSTEM'!J53) + (VALORI!B$4 * 'PASTA CORTA - ECOSYSTEM'!K53) + (VALORI!B$4 * 'PASTA CORTA - ECOSYSTEM'!L53) + (VALORI!B$5 * 'PASTA CORTA - ECOSYSTEM'!M53) + (VALORI!B$6 * 'PASTA CORTA - ECOSYSTEM'!N53) + (VALORI!B$7 * 'PASTA CORTA - ECOSYSTEM'!O53), "")</f>
        <v>1268</v>
      </c>
      <c r="Q53" s="141">
        <f t="shared" si="14"/>
        <v>1585</v>
      </c>
      <c r="R53" s="141">
        <f t="shared" si="15"/>
        <v>932</v>
      </c>
      <c r="S53" s="141">
        <f t="shared" si="16"/>
        <v>1118.4000000000001</v>
      </c>
      <c r="T53" s="142"/>
      <c r="U53" s="141" cm="1">
        <f t="array" ref="U53">IF($A53 &gt; 0,INDEX($X$4:$AS$20,$A$37, $A53),"")</f>
        <v>2200</v>
      </c>
      <c r="V53" s="141">
        <f t="shared" si="17"/>
        <v>2703.4</v>
      </c>
      <c r="X53" s="25">
        <v>63000</v>
      </c>
      <c r="Y53" s="25">
        <f t="shared" si="20"/>
        <v>69300</v>
      </c>
      <c r="Z53" s="25">
        <f t="shared" si="19"/>
        <v>72072</v>
      </c>
      <c r="AA53" s="25">
        <f t="shared" si="18"/>
        <v>74234.16</v>
      </c>
    </row>
    <row r="54" spans="1:27" customFormat="1" ht="20.100000000000001" customHeight="1" x14ac:dyDescent="0.25">
      <c r="A54" s="118">
        <v>10</v>
      </c>
      <c r="B54" s="116"/>
      <c r="C54" s="162" t="str" cm="1">
        <f t="array" ref="C54">IF($A54 &gt; 0, INDEX($X$2:$AS$2, 0, $A54), " ")</f>
        <v>Gestione Additivi - 1 Componente Secco - Microdosatore Gravimetrico Storci - Integrazione in QE</v>
      </c>
      <c r="D54" s="163"/>
      <c r="E54" s="163"/>
      <c r="F54" s="163"/>
      <c r="G54" s="163"/>
      <c r="H54" s="163"/>
      <c r="I54" s="164"/>
      <c r="J54" s="137" cm="1">
        <f t="array" ref="J54">IF($A54 &gt; 0, INDEX($X$25:$AS$28,3, $A54), "")</f>
        <v>10</v>
      </c>
      <c r="K54" s="137" cm="1">
        <f t="array" ref="K54">IF($A54 &gt; 0, INDEX($X$25:$AS$28,1, $A54), "")</f>
        <v>8</v>
      </c>
      <c r="L54" s="137" cm="1">
        <f t="array" ref="L54">IF($A54 &gt; 0, INDEX($X$25:$AS$28,2, $A54), "")</f>
        <v>8</v>
      </c>
      <c r="M54" s="137" cm="1">
        <f t="array" ref="M54">IF($A54 &gt; 0, INDEX($X$25:$AS$28,4, $A54), "")</f>
        <v>5</v>
      </c>
      <c r="N54" s="137"/>
      <c r="O54" s="137"/>
      <c r="P54" s="138">
        <f>IF($A54 &gt; 0,(VALORI!B$3 * 'PASTA CORTA - ECOSYSTEM'!J54) + (VALORI!B$4 * 'PASTA CORTA - ECOSYSTEM'!K54) + (VALORI!B$4 * 'PASTA CORTA - ECOSYSTEM'!L54) + (VALORI!B$5 * 'PASTA CORTA - ECOSYSTEM'!M54) + (VALORI!B$6 * 'PASTA CORTA - ECOSYSTEM'!N54) + (VALORI!B$7 * 'PASTA CORTA - ECOSYSTEM'!O54), "")</f>
        <v>1123</v>
      </c>
      <c r="Q54" s="138">
        <f t="shared" si="14"/>
        <v>1403.75</v>
      </c>
      <c r="R54" s="138">
        <f t="shared" si="15"/>
        <v>1677</v>
      </c>
      <c r="S54" s="138">
        <f t="shared" si="16"/>
        <v>2012.4</v>
      </c>
      <c r="T54" s="139"/>
      <c r="U54" s="138" cm="1">
        <f t="array" ref="U54">IF($A54 &gt; 0,INDEX($X$4:$AS$20,$A$37, $A54),"")</f>
        <v>2800</v>
      </c>
      <c r="V54" s="138">
        <f t="shared" si="17"/>
        <v>3416.15</v>
      </c>
      <c r="X54" s="25">
        <v>0</v>
      </c>
      <c r="Y54" s="25">
        <f t="shared" si="20"/>
        <v>0</v>
      </c>
      <c r="Z54" s="25">
        <f t="shared" si="19"/>
        <v>0</v>
      </c>
      <c r="AA54" s="25">
        <f t="shared" si="18"/>
        <v>0</v>
      </c>
    </row>
    <row r="55" spans="1:27" customFormat="1" ht="20.100000000000001" customHeight="1" x14ac:dyDescent="0.25">
      <c r="A55" s="118">
        <v>11</v>
      </c>
      <c r="B55" s="123"/>
      <c r="C55" s="165" t="str" cm="1">
        <f t="array" ref="C55">IF($A55 &gt; 0, INDEX($X$2:$AS$2, 0, $A55), " ")</f>
        <v>Gestione Additivi - 1 Componente Secco/Liquido - Interfacciamento con QE Dosaggio Esterno (General Dosing - Schenck - Ecc)</v>
      </c>
      <c r="D55" s="166"/>
      <c r="E55" s="166"/>
      <c r="F55" s="166"/>
      <c r="G55" s="166"/>
      <c r="H55" s="166"/>
      <c r="I55" s="167"/>
      <c r="J55" s="140" cm="1">
        <f t="array" ref="J55">IF($A55 &gt; 0, INDEX($X$25:$AS$28,3, $A55), "")</f>
        <v>10</v>
      </c>
      <c r="K55" s="140" cm="1">
        <f t="array" ref="K55">IF($A55 &gt; 0, INDEX($X$25:$AS$28,1, $A55), "")</f>
        <v>8</v>
      </c>
      <c r="L55" s="140" cm="1">
        <f t="array" ref="L55">IF($A55 &gt; 0, INDEX($X$25:$AS$28,2, $A55), "")</f>
        <v>8</v>
      </c>
      <c r="M55" s="140" cm="1">
        <f t="array" ref="M55">IF($A55 &gt; 0, INDEX($X$25:$AS$28,4, $A55), "")</f>
        <v>5</v>
      </c>
      <c r="N55" s="140"/>
      <c r="O55" s="140"/>
      <c r="P55" s="141">
        <f>IF($A55 &gt; 0,(VALORI!B$3 * 'PASTA CORTA - ECOSYSTEM'!J55) + (VALORI!B$4 * 'PASTA CORTA - ECOSYSTEM'!K55) + (VALORI!B$4 * 'PASTA CORTA - ECOSYSTEM'!L55) + (VALORI!B$5 * 'PASTA CORTA - ECOSYSTEM'!M55) + (VALORI!B$6 * 'PASTA CORTA - ECOSYSTEM'!N55) + (VALORI!B$7 * 'PASTA CORTA - ECOSYSTEM'!O55), "")</f>
        <v>1123</v>
      </c>
      <c r="Q55" s="141">
        <f t="shared" si="14"/>
        <v>1403.75</v>
      </c>
      <c r="R55" s="141">
        <f t="shared" si="15"/>
        <v>377</v>
      </c>
      <c r="S55" s="141">
        <f t="shared" si="16"/>
        <v>452.4</v>
      </c>
      <c r="T55" s="142"/>
      <c r="U55" s="141" cm="1">
        <f t="array" ref="U55">IF($A55 &gt; 0,INDEX($X$4:$AS$20,$A$37, $A55),"")</f>
        <v>1500</v>
      </c>
      <c r="V55" s="141">
        <f t="shared" si="17"/>
        <v>1856.15</v>
      </c>
      <c r="X55" s="25">
        <v>76650</v>
      </c>
      <c r="Y55" s="25">
        <f t="shared" si="20"/>
        <v>84315</v>
      </c>
      <c r="Z55" s="25">
        <f t="shared" si="19"/>
        <v>87687.6</v>
      </c>
      <c r="AA55" s="25">
        <f t="shared" si="18"/>
        <v>90318.228000000003</v>
      </c>
    </row>
    <row r="56" spans="1:27" customFormat="1" ht="20.100000000000001" customHeight="1" x14ac:dyDescent="0.25">
      <c r="A56" s="118">
        <v>12</v>
      </c>
      <c r="B56" s="116"/>
      <c r="C56" s="162" t="str" cm="1">
        <f t="array" ref="C56">IF($A56 &gt; 0, INDEX($X$2:$AS$2, 0, $A56), " ")</f>
        <v>Estrusori con Motori a Riluttanza</v>
      </c>
      <c r="D56" s="163"/>
      <c r="E56" s="163"/>
      <c r="F56" s="163"/>
      <c r="G56" s="163"/>
      <c r="H56" s="163"/>
      <c r="I56" s="164"/>
      <c r="J56" s="137" cm="1">
        <f t="array" ref="J56">IF($A56 &gt; 0, INDEX($X$25:$AS$28,3, $A56), "")</f>
        <v>4</v>
      </c>
      <c r="K56" s="137" cm="1">
        <f t="array" ref="K56">IF($A56 &gt; 0, INDEX($X$25:$AS$28,1, $A56), "")</f>
        <v>0</v>
      </c>
      <c r="L56" s="137" cm="1">
        <f t="array" ref="L56">IF($A56 &gt; 0, INDEX($X$25:$AS$28,2, $A56), "")</f>
        <v>0</v>
      </c>
      <c r="M56" s="137" cm="1">
        <f t="array" ref="M56">IF($A56 &gt; 0, INDEX($X$25:$AS$28,4, $A56), "")</f>
        <v>0</v>
      </c>
      <c r="N56" s="137"/>
      <c r="O56" s="137"/>
      <c r="P56" s="138">
        <f>IF($A56 &gt; 0,(VALORI!B$3 * 'PASTA CORTA - ECOSYSTEM'!J56) + (VALORI!B$4 * 'PASTA CORTA - ECOSYSTEM'!K56) + (VALORI!B$4 * 'PASTA CORTA - ECOSYSTEM'!L56) + (VALORI!B$5 * 'PASTA CORTA - ECOSYSTEM'!M56) + (VALORI!B$6 * 'PASTA CORTA - ECOSYSTEM'!N56) + (VALORI!B$7 * 'PASTA CORTA - ECOSYSTEM'!O56), "")</f>
        <v>148</v>
      </c>
      <c r="Q56" s="138">
        <f t="shared" si="14"/>
        <v>185</v>
      </c>
      <c r="R56" s="138">
        <f t="shared" si="15"/>
        <v>652</v>
      </c>
      <c r="S56" s="138">
        <f t="shared" si="16"/>
        <v>782.4</v>
      </c>
      <c r="T56" s="139"/>
      <c r="U56" s="138" cm="1">
        <f t="array" ref="U56">IF($A56 &gt; 0,INDEX($X$4:$AS$20,$A$37, $A56),"")</f>
        <v>800</v>
      </c>
      <c r="V56" s="138">
        <f t="shared" si="17"/>
        <v>967.4</v>
      </c>
      <c r="X56" s="25">
        <v>78750</v>
      </c>
      <c r="Y56" s="25">
        <f t="shared" si="20"/>
        <v>86625</v>
      </c>
      <c r="Z56" s="25">
        <f t="shared" si="19"/>
        <v>90090</v>
      </c>
      <c r="AA56" s="25">
        <f t="shared" si="18"/>
        <v>92792.7</v>
      </c>
    </row>
    <row r="57" spans="1:27" customFormat="1" ht="20.100000000000001" customHeight="1" x14ac:dyDescent="0.25">
      <c r="A57" s="118">
        <v>13</v>
      </c>
      <c r="B57" s="123"/>
      <c r="C57" s="165" t="str" cm="1">
        <f t="array" ref="C57">IF($A57 &gt; 0, INDEX($X$2:$AS$2, 0, $A57), " ")</f>
        <v>Raffreddamento Olio Riduttori Viti di estrusione</v>
      </c>
      <c r="D57" s="166"/>
      <c r="E57" s="166"/>
      <c r="F57" s="166"/>
      <c r="G57" s="166"/>
      <c r="H57" s="166"/>
      <c r="I57" s="167"/>
      <c r="J57" s="140" cm="1">
        <f t="array" ref="J57">IF($A57 &gt; 0, INDEX($X$25:$AS$28,3, $A57), "")</f>
        <v>8</v>
      </c>
      <c r="K57" s="140" cm="1">
        <f t="array" ref="K57">IF($A57 &gt; 0, INDEX($X$25:$AS$28,1, $A57), "")</f>
        <v>8</v>
      </c>
      <c r="L57" s="140" cm="1">
        <f t="array" ref="L57">IF($A57 &gt; 0, INDEX($X$25:$AS$28,2, $A57), "")</f>
        <v>8</v>
      </c>
      <c r="M57" s="140" cm="1">
        <f t="array" ref="M57">IF($A57 &gt; 0, INDEX($X$25:$AS$28,4, $A57), "")</f>
        <v>24</v>
      </c>
      <c r="N57" s="140"/>
      <c r="O57" s="140"/>
      <c r="P57" s="141">
        <f>IF($A57 &gt; 0,(VALORI!B$3 * 'PASTA CORTA - ECOSYSTEM'!J57) + (VALORI!B$4 * 'PASTA CORTA - ECOSYSTEM'!K57) + (VALORI!B$4 * 'PASTA CORTA - ECOSYSTEM'!L57) + (VALORI!B$5 * 'PASTA CORTA - ECOSYSTEM'!M57) + (VALORI!B$6 * 'PASTA CORTA - ECOSYSTEM'!N57) + (VALORI!B$7 * 'PASTA CORTA - ECOSYSTEM'!O57), "")</f>
        <v>1600</v>
      </c>
      <c r="Q57" s="141">
        <f t="shared" si="14"/>
        <v>2000</v>
      </c>
      <c r="R57" s="141">
        <f t="shared" si="15"/>
        <v>500</v>
      </c>
      <c r="S57" s="141">
        <f t="shared" si="16"/>
        <v>600</v>
      </c>
      <c r="T57" s="142"/>
      <c r="U57" s="141" cm="1">
        <f t="array" ref="U57">IF($A57 &gt; 0,INDEX($X$4:$AS$20,$A$37, $A57),"")</f>
        <v>2100</v>
      </c>
      <c r="V57" s="141">
        <f t="shared" si="17"/>
        <v>2600</v>
      </c>
      <c r="X57" s="25">
        <v>85050</v>
      </c>
      <c r="Y57" s="25">
        <f t="shared" si="20"/>
        <v>93555</v>
      </c>
      <c r="Z57" s="25">
        <f t="shared" si="19"/>
        <v>97297.2</v>
      </c>
      <c r="AA57" s="25">
        <f t="shared" si="18"/>
        <v>100216.11599999999</v>
      </c>
    </row>
    <row r="58" spans="1:27" customFormat="1" ht="20.100000000000001" customHeight="1" x14ac:dyDescent="0.25">
      <c r="A58" s="118">
        <v>14</v>
      </c>
      <c r="B58" s="116"/>
      <c r="C58" s="162" t="str" cm="1">
        <f t="array" ref="C58">IF($A58 &gt; 0, INDEX($X$2:$AS$2, 0, $A58), " ")</f>
        <v>Interfacciamento con Tranciapiegatrici</v>
      </c>
      <c r="D58" s="163"/>
      <c r="E58" s="163"/>
      <c r="F58" s="163"/>
      <c r="G58" s="163"/>
      <c r="H58" s="163"/>
      <c r="I58" s="164"/>
      <c r="J58" s="137" cm="1">
        <f t="array" ref="J58">IF($A58 &gt; 0, INDEX($X$25:$AS$28,3, $A58), "")</f>
        <v>5</v>
      </c>
      <c r="K58" s="137" cm="1">
        <f t="array" ref="K58">IF($A58 &gt; 0, INDEX($X$25:$AS$28,1, $A58), "")</f>
        <v>4</v>
      </c>
      <c r="L58" s="137" cm="1">
        <f t="array" ref="L58">IF($A58 &gt; 0, INDEX($X$25:$AS$28,2, $A58), "")</f>
        <v>4</v>
      </c>
      <c r="M58" s="137" cm="1">
        <f t="array" ref="M58">IF($A58 &gt; 0, INDEX($X$25:$AS$28,4, $A58), "")</f>
        <v>5</v>
      </c>
      <c r="N58" s="137"/>
      <c r="O58" s="137"/>
      <c r="P58" s="138">
        <f>IF($A58 &gt; 0,(VALORI!B$3 * 'PASTA CORTA - ECOSYSTEM'!J58) + (VALORI!B$4 * 'PASTA CORTA - ECOSYSTEM'!K58) + (VALORI!B$4 * 'PASTA CORTA - ECOSYSTEM'!L58) + (VALORI!B$5 * 'PASTA CORTA - ECOSYSTEM'!M58) + (VALORI!B$6 * 'PASTA CORTA - ECOSYSTEM'!N58) + (VALORI!B$7 * 'PASTA CORTA - ECOSYSTEM'!O58), "")</f>
        <v>634</v>
      </c>
      <c r="Q58" s="138">
        <f t="shared" si="14"/>
        <v>792.5</v>
      </c>
      <c r="R58" s="138">
        <f t="shared" si="15"/>
        <v>966</v>
      </c>
      <c r="S58" s="138">
        <f t="shared" si="16"/>
        <v>1159.2</v>
      </c>
      <c r="T58" s="139"/>
      <c r="U58" s="138" cm="1">
        <f t="array" ref="U58">IF($A58 &gt; 0,INDEX($X$4:$AS$20,$A$37, $A58),"")</f>
        <v>1600</v>
      </c>
      <c r="V58" s="138">
        <f t="shared" si="17"/>
        <v>1951.7</v>
      </c>
      <c r="X58" s="25">
        <v>0</v>
      </c>
      <c r="Y58" s="25">
        <f t="shared" si="20"/>
        <v>0</v>
      </c>
      <c r="Z58" s="25">
        <f t="shared" si="19"/>
        <v>0</v>
      </c>
      <c r="AA58" s="25">
        <f t="shared" si="18"/>
        <v>0</v>
      </c>
    </row>
    <row r="59" spans="1:27" customFormat="1" ht="20.100000000000001" customHeight="1" x14ac:dyDescent="0.25">
      <c r="A59" s="118">
        <v>15</v>
      </c>
      <c r="B59" s="123"/>
      <c r="C59" s="165" t="str" cm="1">
        <f t="array" ref="C59">IF($A59 &gt; 0, INDEX($X$2:$AS$2, 0, $A59), " ")</f>
        <v>Motorizzazione singola piani</v>
      </c>
      <c r="D59" s="166"/>
      <c r="E59" s="166"/>
      <c r="F59" s="166"/>
      <c r="G59" s="166"/>
      <c r="H59" s="166"/>
      <c r="I59" s="167"/>
      <c r="J59" s="140" cm="1">
        <f t="array" ref="J59">IF($A59 &gt; 0, INDEX($X$25:$AS$28,3, $A59), "")</f>
        <v>20</v>
      </c>
      <c r="K59" s="140" cm="1">
        <f t="array" ref="K59">IF($A59 &gt; 0, INDEX($X$25:$AS$28,1, $A59), "")</f>
        <v>30</v>
      </c>
      <c r="L59" s="140" cm="1">
        <f t="array" ref="L59">IF($A59 &gt; 0, INDEX($X$25:$AS$28,2, $A59), "")</f>
        <v>30</v>
      </c>
      <c r="M59" s="140" cm="1">
        <f t="array" ref="M59">IF($A59 &gt; 0, INDEX($X$25:$AS$28,4, $A59), "")</f>
        <v>30</v>
      </c>
      <c r="N59" s="140"/>
      <c r="O59" s="140"/>
      <c r="P59" s="141">
        <f>IF($A59 &gt; 0,(VALORI!B$3 * 'PASTA CORTA - ECOSYSTEM'!J59) + (VALORI!B$4 * 'PASTA CORTA - ECOSYSTEM'!K59) + (VALORI!B$4 * 'PASTA CORTA - ECOSYSTEM'!L59) + (VALORI!B$5 * 'PASTA CORTA - ECOSYSTEM'!M59) + (VALORI!B$6 * 'PASTA CORTA - ECOSYSTEM'!N59) + (VALORI!B$7 * 'PASTA CORTA - ECOSYSTEM'!O59), "")</f>
        <v>3890</v>
      </c>
      <c r="Q59" s="141">
        <f t="shared" si="14"/>
        <v>4862.5</v>
      </c>
      <c r="R59" s="141">
        <f t="shared" si="15"/>
        <v>1110</v>
      </c>
      <c r="S59" s="141">
        <f t="shared" si="16"/>
        <v>1332</v>
      </c>
      <c r="T59" s="142"/>
      <c r="U59" s="141" cm="1">
        <f t="array" ref="U59">IF($A59 &gt; 0,INDEX($X$4:$AS$20,$A$37, $A59),"")</f>
        <v>5000</v>
      </c>
      <c r="V59" s="141">
        <f t="shared" si="17"/>
        <v>6194.5</v>
      </c>
      <c r="X59" s="25">
        <v>89250</v>
      </c>
      <c r="Y59" s="25">
        <f t="shared" si="20"/>
        <v>98175</v>
      </c>
      <c r="Z59" s="25">
        <f t="shared" si="19"/>
        <v>102102</v>
      </c>
      <c r="AA59" s="25">
        <f t="shared" si="18"/>
        <v>105165.06</v>
      </c>
    </row>
    <row r="60" spans="1:27" customFormat="1" ht="20.100000000000001" customHeight="1" x14ac:dyDescent="0.25">
      <c r="A60" s="118">
        <v>16</v>
      </c>
      <c r="B60" s="116"/>
      <c r="C60" s="162" t="str" cm="1">
        <f t="array" ref="C60">IF($A60 &gt; 0, INDEX($X$2:$AS$2, 0, $A60), " ")</f>
        <v>Motorizzaziooni a doppia polarità per comando piani</v>
      </c>
      <c r="D60" s="163"/>
      <c r="E60" s="163"/>
      <c r="F60" s="163"/>
      <c r="G60" s="163"/>
      <c r="H60" s="163"/>
      <c r="I60" s="164"/>
      <c r="J60" s="137" cm="1">
        <f t="array" ref="J60">IF($A60 &gt; 0, INDEX($X$25:$AS$28,3, $A60), "")</f>
        <v>4</v>
      </c>
      <c r="K60" s="137" cm="1">
        <f t="array" ref="K60">IF($A60 &gt; 0, INDEX($X$25:$AS$28,1, $A60), "")</f>
        <v>2</v>
      </c>
      <c r="L60" s="137" cm="1">
        <f t="array" ref="L60">IF($A60 &gt; 0, INDEX($X$25:$AS$28,2, $A60), "")</f>
        <v>2</v>
      </c>
      <c r="M60" s="137" cm="1">
        <f t="array" ref="M60">IF($A60 &gt; 0, INDEX($X$25:$AS$28,4, $A60), "")</f>
        <v>8</v>
      </c>
      <c r="N60" s="137"/>
      <c r="O60" s="137"/>
      <c r="P60" s="138">
        <f>IF($A60 &gt; 0,(VALORI!B$3 * 'PASTA CORTA - ECOSYSTEM'!J60) + (VALORI!B$4 * 'PASTA CORTA - ECOSYSTEM'!K60) + (VALORI!B$4 * 'PASTA CORTA - ECOSYSTEM'!L60) + (VALORI!B$5 * 'PASTA CORTA - ECOSYSTEM'!M60) + (VALORI!B$6 * 'PASTA CORTA - ECOSYSTEM'!N60) + (VALORI!B$7 * 'PASTA CORTA - ECOSYSTEM'!O60), "")</f>
        <v>532</v>
      </c>
      <c r="Q60" s="138">
        <f t="shared" si="14"/>
        <v>665</v>
      </c>
      <c r="R60" s="138">
        <f t="shared" si="15"/>
        <v>218</v>
      </c>
      <c r="S60" s="138">
        <f t="shared" si="16"/>
        <v>261.60000000000002</v>
      </c>
      <c r="T60" s="139"/>
      <c r="U60" s="138" cm="1">
        <f t="array" ref="U60">IF($A60 &gt; 0,INDEX($X$4:$AS$20,$A$37, $A60),"")</f>
        <v>750</v>
      </c>
      <c r="V60" s="138">
        <f t="shared" si="17"/>
        <v>926.6</v>
      </c>
      <c r="X60" s="25">
        <v>0</v>
      </c>
      <c r="Y60" s="25">
        <f t="shared" si="20"/>
        <v>0</v>
      </c>
      <c r="Z60" s="25">
        <f t="shared" si="19"/>
        <v>0</v>
      </c>
      <c r="AA60" s="25">
        <f t="shared" si="18"/>
        <v>0</v>
      </c>
    </row>
    <row r="61" spans="1:27" customFormat="1" ht="20.100000000000001" customHeight="1" x14ac:dyDescent="0.25">
      <c r="A61" s="118">
        <v>17</v>
      </c>
      <c r="B61" s="123"/>
      <c r="C61" s="165" t="str" cm="1">
        <f t="array" ref="C61">IF($A61 &gt; 0, INDEX($X$2:$AS$2, 0, $A61), " ")</f>
        <v>Gruppo ByPass Idraulico con doppia valvola</v>
      </c>
      <c r="D61" s="166"/>
      <c r="E61" s="166"/>
      <c r="F61" s="166"/>
      <c r="G61" s="166"/>
      <c r="H61" s="166"/>
      <c r="I61" s="167"/>
      <c r="J61" s="140" cm="1">
        <f t="array" ref="J61">IF($A61 &gt; 0, INDEX($X$25:$AS$28,3, $A61), "")</f>
        <v>4</v>
      </c>
      <c r="K61" s="140" cm="1">
        <f t="array" ref="K61">IF($A61 &gt; 0, INDEX($X$25:$AS$28,1, $A61), "")</f>
        <v>2</v>
      </c>
      <c r="L61" s="140" cm="1">
        <f t="array" ref="L61">IF($A61 &gt; 0, INDEX($X$25:$AS$28,2, $A61), "")</f>
        <v>2</v>
      </c>
      <c r="M61" s="140" cm="1">
        <f t="array" ref="M61">IF($A61 &gt; 0, INDEX($X$25:$AS$28,4, $A61), "")</f>
        <v>4</v>
      </c>
      <c r="N61" s="140"/>
      <c r="O61" s="140"/>
      <c r="P61" s="141">
        <f>IF($A61 &gt; 0,(VALORI!B$3 * 'PASTA CORTA - ECOSYSTEM'!J61) + (VALORI!B$4 * 'PASTA CORTA - ECOSYSTEM'!K61) + (VALORI!B$4 * 'PASTA CORTA - ECOSYSTEM'!L61) + (VALORI!B$5 * 'PASTA CORTA - ECOSYSTEM'!M61) + (VALORI!B$6 * 'PASTA CORTA - ECOSYSTEM'!N61) + (VALORI!B$7 * 'PASTA CORTA - ECOSYSTEM'!O61), "")</f>
        <v>416</v>
      </c>
      <c r="Q61" s="141">
        <f t="shared" si="14"/>
        <v>520</v>
      </c>
      <c r="R61" s="141">
        <f t="shared" si="15"/>
        <v>304</v>
      </c>
      <c r="S61" s="141">
        <f t="shared" si="16"/>
        <v>364.8</v>
      </c>
      <c r="T61" s="142"/>
      <c r="U61" s="141" cm="1">
        <f t="array" ref="U61">IF($A61 &gt; 0,INDEX($X$4:$AS$20,$A$37, $A61),"")</f>
        <v>720</v>
      </c>
      <c r="V61" s="141">
        <f t="shared" si="17"/>
        <v>884.8</v>
      </c>
      <c r="X61" s="25">
        <v>126000</v>
      </c>
      <c r="Y61" s="25">
        <f t="shared" si="20"/>
        <v>138600</v>
      </c>
      <c r="Z61" s="25">
        <f t="shared" si="19"/>
        <v>144144</v>
      </c>
      <c r="AA61" s="25">
        <f t="shared" si="18"/>
        <v>148468.32</v>
      </c>
    </row>
    <row r="62" spans="1:27" customFormat="1" ht="20.100000000000001" customHeight="1" x14ac:dyDescent="0.25">
      <c r="A62" s="118">
        <v>18</v>
      </c>
      <c r="B62" s="116"/>
      <c r="C62" s="162" t="str" cm="1">
        <f t="array" ref="C62">IF($A62 &gt; 0, INDEX($X$2:$AS$2, 0, $A62), " ")</f>
        <v>Espulsione Aria Trabatto comandata con Inverter</v>
      </c>
      <c r="D62" s="163"/>
      <c r="E62" s="163"/>
      <c r="F62" s="163"/>
      <c r="G62" s="163"/>
      <c r="H62" s="163"/>
      <c r="I62" s="164"/>
      <c r="J62" s="137" cm="1">
        <f t="array" ref="J62">IF($A62 &gt; 0, INDEX($X$25:$AS$28,3, $A62), "")</f>
        <v>2</v>
      </c>
      <c r="K62" s="137" cm="1">
        <f t="array" ref="K62">IF($A62 &gt; 0, INDEX($X$25:$AS$28,1, $A62), "")</f>
        <v>1</v>
      </c>
      <c r="L62" s="137" cm="1">
        <f t="array" ref="L62">IF($A62 &gt; 0, INDEX($X$25:$AS$28,2, $A62), "")</f>
        <v>1</v>
      </c>
      <c r="M62" s="137" cm="1">
        <f t="array" ref="M62">IF($A62 &gt; 0, INDEX($X$25:$AS$28,4, $A62), "")</f>
        <v>4</v>
      </c>
      <c r="N62" s="137"/>
      <c r="O62" s="137"/>
      <c r="P62" s="138">
        <f>IF($A62 &gt; 0,(VALORI!B$3 * 'PASTA CORTA - ECOSYSTEM'!J62) + (VALORI!B$4 * 'PASTA CORTA - ECOSYSTEM'!K62) + (VALORI!B$4 * 'PASTA CORTA - ECOSYSTEM'!L62) + (VALORI!B$5 * 'PASTA CORTA - ECOSYSTEM'!M62) + (VALORI!B$6 * 'PASTA CORTA - ECOSYSTEM'!N62) + (VALORI!B$7 * 'PASTA CORTA - ECOSYSTEM'!O62), "")</f>
        <v>266</v>
      </c>
      <c r="Q62" s="138">
        <f t="shared" si="14"/>
        <v>332.5</v>
      </c>
      <c r="R62" s="138">
        <f t="shared" si="15"/>
        <v>1434</v>
      </c>
      <c r="S62" s="138">
        <f t="shared" si="16"/>
        <v>1720.8</v>
      </c>
      <c r="T62" s="139"/>
      <c r="U62" s="138" cm="1">
        <f t="array" ref="U62">IF($A62 &gt; 0,INDEX($X$4:$AS$20,$A$37, $A62),"")</f>
        <v>1700</v>
      </c>
      <c r="V62" s="138">
        <f t="shared" si="17"/>
        <v>2053.3000000000002</v>
      </c>
      <c r="X62" s="25">
        <v>141750</v>
      </c>
      <c r="Y62" s="25">
        <f t="shared" si="20"/>
        <v>155925</v>
      </c>
      <c r="Z62" s="25">
        <f t="shared" si="19"/>
        <v>162162</v>
      </c>
      <c r="AA62" s="25">
        <f t="shared" si="18"/>
        <v>167026.85999999999</v>
      </c>
    </row>
    <row r="63" spans="1:27" customFormat="1" ht="20.100000000000001" customHeight="1" x14ac:dyDescent="0.25">
      <c r="A63" s="118">
        <v>19</v>
      </c>
      <c r="B63" s="123"/>
      <c r="C63" s="165" t="str" cm="1">
        <f t="array" ref="C63">IF($A63 &gt; 0, INDEX($X$2:$AS$2, 0, $A63), " ")</f>
        <v>Lama D'Aria Ingresso Trabatto</v>
      </c>
      <c r="D63" s="166"/>
      <c r="E63" s="166"/>
      <c r="F63" s="166"/>
      <c r="G63" s="166"/>
      <c r="H63" s="166"/>
      <c r="I63" s="167"/>
      <c r="J63" s="140" cm="1">
        <f t="array" ref="J63">IF($A63 &gt; 0, INDEX($X$25:$AS$28,3, $A63), "")</f>
        <v>4</v>
      </c>
      <c r="K63" s="140" cm="1">
        <f t="array" ref="K63">IF($A63 &gt; 0, INDEX($X$25:$AS$28,1, $A63), "")</f>
        <v>1</v>
      </c>
      <c r="L63" s="140" cm="1">
        <f t="array" ref="L63">IF($A63 &gt; 0, INDEX($X$25:$AS$28,2, $A63), "")</f>
        <v>1</v>
      </c>
      <c r="M63" s="140" cm="1">
        <f t="array" ref="M63">IF($A63 &gt; 0, INDEX($X$25:$AS$28,4, $A63), "")</f>
        <v>12</v>
      </c>
      <c r="N63" s="140"/>
      <c r="O63" s="140"/>
      <c r="P63" s="141">
        <f>IF($A63 &gt; 0,(VALORI!B$3 * 'PASTA CORTA - ECOSYSTEM'!J63) + (VALORI!B$4 * 'PASTA CORTA - ECOSYSTEM'!K63) + (VALORI!B$4 * 'PASTA CORTA - ECOSYSTEM'!L63) + (VALORI!B$5 * 'PASTA CORTA - ECOSYSTEM'!M63) + (VALORI!B$6 * 'PASTA CORTA - ECOSYSTEM'!N63) + (VALORI!B$7 * 'PASTA CORTA - ECOSYSTEM'!O63), "")</f>
        <v>572</v>
      </c>
      <c r="Q63" s="141">
        <f t="shared" si="14"/>
        <v>715</v>
      </c>
      <c r="R63" s="141">
        <f t="shared" si="15"/>
        <v>1128</v>
      </c>
      <c r="S63" s="141">
        <f t="shared" si="16"/>
        <v>1353.6</v>
      </c>
      <c r="T63" s="142"/>
      <c r="U63" s="141" cm="1">
        <f t="array" ref="U63">IF($A63 &gt; 0,INDEX($X$4:$AS$20,$A$37, $A63),"")</f>
        <v>1700</v>
      </c>
      <c r="V63" s="141">
        <f t="shared" si="17"/>
        <v>2068.6</v>
      </c>
      <c r="X63" s="25"/>
      <c r="Y63" s="25"/>
      <c r="Z63" s="25"/>
      <c r="AA63" s="25"/>
    </row>
    <row r="64" spans="1:27" customFormat="1" ht="20.100000000000001" customHeight="1" x14ac:dyDescent="0.25">
      <c r="A64" s="118">
        <v>20</v>
      </c>
      <c r="B64" s="116"/>
      <c r="C64" s="162" t="str" cm="1">
        <f t="array" ref="C64">IF($A64 &gt; 0, INDEX($X$2:$AS$2, 0, $A64), " ")</f>
        <v>Ventilazione Riscaldata  Sotto Trafila</v>
      </c>
      <c r="D64" s="163"/>
      <c r="E64" s="163"/>
      <c r="F64" s="163"/>
      <c r="G64" s="163"/>
      <c r="H64" s="163"/>
      <c r="I64" s="164"/>
      <c r="J64" s="137" cm="1">
        <f t="array" ref="J64">IF($A64 &gt; 0, INDEX($X$25:$AS$28,3, $A64), "")</f>
        <v>1</v>
      </c>
      <c r="K64" s="137" cm="1">
        <f t="array" ref="K64">IF($A64 &gt; 0, INDEX($X$25:$AS$28,1, $A64), "")</f>
        <v>2</v>
      </c>
      <c r="L64" s="137" cm="1">
        <f t="array" ref="L64">IF($A64 &gt; 0, INDEX($X$25:$AS$28,2, $A64), "")</f>
        <v>2</v>
      </c>
      <c r="M64" s="137" cm="1">
        <f t="array" ref="M64">IF($A64 &gt; 0, INDEX($X$25:$AS$28,4, $A64), "")</f>
        <v>8</v>
      </c>
      <c r="N64" s="137"/>
      <c r="O64" s="137"/>
      <c r="P64" s="138">
        <f>IF($A64 &gt; 0,(VALORI!B$3 * 'PASTA CORTA - ECOSYSTEM'!J64) + (VALORI!B$4 * 'PASTA CORTA - ECOSYSTEM'!K64) + (VALORI!B$4 * 'PASTA CORTA - ECOSYSTEM'!L64) + (VALORI!B$5 * 'PASTA CORTA - ECOSYSTEM'!M64) + (VALORI!B$6 * 'PASTA CORTA - ECOSYSTEM'!N64) + (VALORI!B$7 * 'PASTA CORTA - ECOSYSTEM'!O64), "")</f>
        <v>421</v>
      </c>
      <c r="Q64" s="138">
        <f t="shared" si="14"/>
        <v>526.25</v>
      </c>
      <c r="R64" s="138">
        <f t="shared" si="15"/>
        <v>679</v>
      </c>
      <c r="S64" s="138">
        <f t="shared" si="16"/>
        <v>814.8</v>
      </c>
      <c r="T64" s="139"/>
      <c r="U64" s="138" cm="1">
        <f t="array" ref="U64">IF($A64 &gt; 0,INDEX($X$4:$AS$20,$A$37, $A64),"")</f>
        <v>1100</v>
      </c>
      <c r="V64" s="138">
        <f t="shared" si="17"/>
        <v>1341.05</v>
      </c>
      <c r="X64" s="25"/>
      <c r="Y64" s="25"/>
      <c r="Z64" s="25"/>
      <c r="AA64" s="25"/>
    </row>
    <row r="65" spans="1:52" ht="20.100000000000001" customHeight="1" x14ac:dyDescent="0.25">
      <c r="A65" s="118">
        <v>21</v>
      </c>
      <c r="B65" s="123"/>
      <c r="C65" s="165" t="str" cm="1">
        <f t="array" ref="C65">IF($A65 &gt; 0, INDEX($X$2:$AS$2, 0, $A65), " ")</f>
        <v>Ventilazioni comandate con Inverter</v>
      </c>
      <c r="D65" s="166"/>
      <c r="E65" s="166"/>
      <c r="F65" s="166"/>
      <c r="G65" s="166"/>
      <c r="H65" s="166"/>
      <c r="I65" s="167"/>
      <c r="J65" s="140" cm="1">
        <f t="array" ref="J65">IF($A65 &gt; 0, INDEX($X$25:$AS$28,3, $A65), "")</f>
        <v>0</v>
      </c>
      <c r="K65" s="140" cm="1">
        <f t="array" ref="K65">IF($A65 &gt; 0, INDEX($X$25:$AS$28,1, $A65), "")</f>
        <v>0</v>
      </c>
      <c r="L65" s="140" cm="1">
        <f t="array" ref="L65">IF($A65 &gt; 0, INDEX($X$25:$AS$28,2, $A65), "")</f>
        <v>0</v>
      </c>
      <c r="M65" s="140" cm="1">
        <f t="array" ref="M65">IF($A65 &gt; 0, INDEX($X$25:$AS$28,4, $A65), "")</f>
        <v>0</v>
      </c>
      <c r="N65" s="140"/>
      <c r="O65" s="140"/>
      <c r="P65" s="141">
        <f>IF($A65 &gt; 0,(VALORI!B$3 * 'PASTA CORTA - ECOSYSTEM'!J65) + (VALORI!B$4 * 'PASTA CORTA - ECOSYSTEM'!K65) + (VALORI!B$4 * 'PASTA CORTA - ECOSYSTEM'!L65) + (VALORI!B$5 * 'PASTA CORTA - ECOSYSTEM'!M65) + (VALORI!B$6 * 'PASTA CORTA - ECOSYSTEM'!N65) + (VALORI!B$7 * 'PASTA CORTA - ECOSYSTEM'!O65), "")</f>
        <v>0</v>
      </c>
      <c r="Q65" s="141">
        <f t="shared" si="14"/>
        <v>0</v>
      </c>
      <c r="R65" s="141" t="e">
        <f t="shared" si="15"/>
        <v>#VALUE!</v>
      </c>
      <c r="S65" s="141" t="e">
        <f t="shared" si="16"/>
        <v>#VALUE!</v>
      </c>
      <c r="T65" s="142"/>
      <c r="U65" s="141" t="str" cm="1">
        <f t="array" ref="U65">IF($A65 &gt; 0,INDEX($X$4:$AS$20,$A$37, $A65),"")</f>
        <v>DaDef</v>
      </c>
      <c r="V65" s="141" t="e">
        <f t="shared" si="17"/>
        <v>#VALUE!</v>
      </c>
      <c r="X65" s="25"/>
      <c r="Y65" s="25"/>
      <c r="Z65" s="25"/>
      <c r="AA65" s="25"/>
      <c r="AO65"/>
      <c r="AP65"/>
      <c r="AQ65"/>
      <c r="AX65"/>
      <c r="AY65"/>
      <c r="AZ65"/>
    </row>
    <row r="66" spans="1:52" ht="20.100000000000001" customHeight="1" x14ac:dyDescent="0.25">
      <c r="A66" s="118">
        <v>22</v>
      </c>
      <c r="B66" s="116"/>
      <c r="C66" s="162" t="str" cm="1">
        <f t="array" ref="C66">IF($A66 &gt; 0, INDEX($X$2:$AS$2, 0, $A66), " ")</f>
        <v>TELECAMERE Ambientali (4 Telecamere)</v>
      </c>
      <c r="D66" s="163"/>
      <c r="E66" s="163"/>
      <c r="F66" s="163"/>
      <c r="G66" s="163"/>
      <c r="H66" s="163"/>
      <c r="I66" s="164"/>
      <c r="J66" s="137" cm="1">
        <f t="array" ref="J66">IF($A66 &gt; 0, INDEX($X$25:$AS$28,3, $A66), "")</f>
        <v>15</v>
      </c>
      <c r="K66" s="137" cm="1">
        <f t="array" ref="K66">IF($A66 &gt; 0, INDEX($X$25:$AS$28,1, $A66), "")</f>
        <v>0</v>
      </c>
      <c r="L66" s="137" cm="1">
        <f t="array" ref="L66">IF($A66 &gt; 0, INDEX($X$25:$AS$28,2, $A66), "")</f>
        <v>0</v>
      </c>
      <c r="M66" s="137" cm="1">
        <f t="array" ref="M66">IF($A66 &gt; 0, INDEX($X$25:$AS$28,4, $A66), "")</f>
        <v>3</v>
      </c>
      <c r="N66" s="137"/>
      <c r="O66" s="137"/>
      <c r="P66" s="138">
        <f>IF($A66 &gt; 0,(VALORI!B$3 * 'PASTA CORTA - ECOSYSTEM'!J66) + (VALORI!B$4 * 'PASTA CORTA - ECOSYSTEM'!K66) + (VALORI!B$4 * 'PASTA CORTA - ECOSYSTEM'!L66) + (VALORI!B$5 * 'PASTA CORTA - ECOSYSTEM'!M66) + (VALORI!B$6 * 'PASTA CORTA - ECOSYSTEM'!N66) + (VALORI!B$7 * 'PASTA CORTA - ECOSYSTEM'!O66), "")</f>
        <v>642</v>
      </c>
      <c r="Q66" s="138">
        <f t="shared" si="14"/>
        <v>802.5</v>
      </c>
      <c r="R66" s="138">
        <f t="shared" si="15"/>
        <v>7358</v>
      </c>
      <c r="S66" s="138">
        <f t="shared" si="16"/>
        <v>8829.6</v>
      </c>
      <c r="T66" s="139"/>
      <c r="U66" s="138" cm="1">
        <f t="array" ref="U66">IF($A66 &gt; 0,INDEX($X$4:$AS$20,$A$37, $A66),"")</f>
        <v>8000</v>
      </c>
      <c r="V66" s="138">
        <f t="shared" si="17"/>
        <v>9632.1</v>
      </c>
      <c r="X66" s="25"/>
      <c r="Y66" s="25"/>
      <c r="Z66" s="25"/>
      <c r="AA66" s="25"/>
      <c r="AO66"/>
      <c r="AP66"/>
      <c r="AQ66"/>
      <c r="AX66"/>
      <c r="AY66"/>
      <c r="AZ66"/>
    </row>
    <row r="67" spans="1:52" ht="20.100000000000001" customHeight="1" thickBot="1" x14ac:dyDescent="0.3">
      <c r="A67" s="119">
        <v>23</v>
      </c>
      <c r="B67" s="123"/>
      <c r="C67" s="165" t="e" cm="1">
        <f t="array" ref="C67">IF($A67 &gt; 0, INDEX($X$2:$AS$2, 0, $A67), " ")</f>
        <v>#REF!</v>
      </c>
      <c r="D67" s="166"/>
      <c r="E67" s="166"/>
      <c r="F67" s="166"/>
      <c r="G67" s="166"/>
      <c r="H67" s="166"/>
      <c r="I67" s="167"/>
      <c r="J67" s="140" t="e" cm="1">
        <f t="array" ref="J67">IF($A67 &gt; 0, INDEX($X$25:$AS$28,3, $A67), "")</f>
        <v>#REF!</v>
      </c>
      <c r="K67" s="140" t="e" cm="1">
        <f t="array" ref="K67">IF($A67 &gt; 0, INDEX($X$25:$AS$28,1, $A67), "")</f>
        <v>#REF!</v>
      </c>
      <c r="L67" s="140" t="e" cm="1">
        <f t="array" ref="L67">IF($A67 &gt; 0, INDEX($X$25:$AS$28,2, $A67), "")</f>
        <v>#REF!</v>
      </c>
      <c r="M67" s="140" t="e" cm="1">
        <f t="array" ref="M67">IF($A67 &gt; 0, INDEX($X$25:$AS$28,4, $A67), "")</f>
        <v>#REF!</v>
      </c>
      <c r="N67" s="140"/>
      <c r="O67" s="140"/>
      <c r="P67" s="141" t="e">
        <f>IF($A67 &gt; 0,(VALORI!B$3 * 'PASTA CORTA - ECOSYSTEM'!J67) + (VALORI!B$4 * 'PASTA CORTA - ECOSYSTEM'!K67) + (VALORI!B$4 * 'PASTA CORTA - ECOSYSTEM'!L67) + (VALORI!B$5 * 'PASTA CORTA - ECOSYSTEM'!M67) + (VALORI!B$6 * 'PASTA CORTA - ECOSYSTEM'!N67) + (VALORI!B$7 * 'PASTA CORTA - ECOSYSTEM'!O67), "")</f>
        <v>#REF!</v>
      </c>
      <c r="Q67" s="141" t="e">
        <f t="shared" si="14"/>
        <v>#REF!</v>
      </c>
      <c r="R67" s="141" t="e">
        <f t="shared" si="15"/>
        <v>#REF!</v>
      </c>
      <c r="S67" s="141" t="e">
        <f t="shared" si="16"/>
        <v>#REF!</v>
      </c>
      <c r="T67" s="142"/>
      <c r="U67" s="141" t="e" cm="1">
        <f t="array" ref="U67">IF($A67 &gt; 0,INDEX($X$4:$AS$20,$A$37, $A67),"")</f>
        <v>#REF!</v>
      </c>
      <c r="V67" s="141" t="e">
        <f t="shared" si="17"/>
        <v>#REF!</v>
      </c>
      <c r="X67" s="25"/>
      <c r="Y67" s="25"/>
      <c r="Z67" s="25"/>
      <c r="AA67" s="25"/>
      <c r="AO67"/>
      <c r="AP67"/>
      <c r="AQ67"/>
      <c r="AX67"/>
      <c r="AY67"/>
      <c r="AZ67"/>
    </row>
    <row r="68" spans="1:52" ht="15.75" thickBot="1" x14ac:dyDescent="0.3">
      <c r="A68" s="188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AO68"/>
      <c r="AP68"/>
      <c r="AQ68"/>
      <c r="AX68"/>
      <c r="AY68"/>
      <c r="AZ68"/>
    </row>
    <row r="69" spans="1:52" ht="15.75" x14ac:dyDescent="0.25">
      <c r="A69" s="201"/>
      <c r="B69" s="201"/>
      <c r="C69" s="201"/>
      <c r="D69" s="201"/>
      <c r="E69" s="201"/>
      <c r="F69" s="201"/>
      <c r="G69" s="201"/>
      <c r="H69" s="201"/>
      <c r="I69" s="202"/>
      <c r="J69" s="194" t="s">
        <v>375</v>
      </c>
      <c r="K69" s="194"/>
      <c r="L69" s="194"/>
      <c r="M69" s="195"/>
      <c r="N69" s="195"/>
      <c r="O69" s="196"/>
      <c r="P69" s="125" t="s">
        <v>366</v>
      </c>
      <c r="Q69" s="128" t="s">
        <v>366</v>
      </c>
      <c r="R69" s="125" t="s">
        <v>369</v>
      </c>
      <c r="S69" s="131" t="s">
        <v>369</v>
      </c>
      <c r="T69" s="189"/>
      <c r="U69" s="126" t="s">
        <v>370</v>
      </c>
      <c r="V69" s="132" t="s">
        <v>371</v>
      </c>
      <c r="AO69"/>
      <c r="AP69"/>
      <c r="AQ69"/>
      <c r="AX69"/>
      <c r="AY69"/>
      <c r="AZ69"/>
    </row>
    <row r="70" spans="1:52" ht="16.5" thickBot="1" x14ac:dyDescent="0.3">
      <c r="A70" s="203"/>
      <c r="B70" s="203"/>
      <c r="C70" s="203"/>
      <c r="D70" s="203"/>
      <c r="E70" s="203"/>
      <c r="F70" s="203"/>
      <c r="G70" s="203"/>
      <c r="H70" s="203"/>
      <c r="I70" s="204"/>
      <c r="J70" s="197"/>
      <c r="K70" s="197"/>
      <c r="L70" s="198"/>
      <c r="M70" s="199" t="s">
        <v>365</v>
      </c>
      <c r="N70" s="200"/>
      <c r="O70" s="114"/>
      <c r="P70" s="124" t="s">
        <v>367</v>
      </c>
      <c r="Q70" s="128" t="s">
        <v>368</v>
      </c>
      <c r="R70" s="125" t="s">
        <v>367</v>
      </c>
      <c r="S70" s="131" t="s">
        <v>368</v>
      </c>
      <c r="T70" s="190"/>
      <c r="U70" s="127" t="s">
        <v>367</v>
      </c>
      <c r="V70" s="133" t="s">
        <v>368</v>
      </c>
      <c r="AO70"/>
      <c r="AP70"/>
      <c r="AQ70"/>
      <c r="AX70"/>
      <c r="AY70"/>
      <c r="AZ70"/>
    </row>
    <row r="71" spans="1:52" ht="2.1" customHeight="1" thickBot="1" x14ac:dyDescent="0.3">
      <c r="Q71" s="129"/>
      <c r="S71" s="129"/>
      <c r="AO71"/>
      <c r="AP71"/>
      <c r="AQ71"/>
      <c r="AX71"/>
      <c r="AY71"/>
      <c r="AZ71"/>
    </row>
    <row r="72" spans="1:52" ht="21" customHeight="1" thickBot="1" x14ac:dyDescent="0.35">
      <c r="A72" s="191"/>
      <c r="B72" s="192"/>
      <c r="C72" s="192"/>
      <c r="D72" s="192"/>
      <c r="E72" s="192"/>
      <c r="F72" s="192"/>
      <c r="G72" s="192"/>
      <c r="H72" s="192"/>
      <c r="I72" s="193"/>
      <c r="J72" s="120" t="e">
        <f t="shared" ref="J72:S72" si="21">SUM(J37:J67)</f>
        <v>#REF!</v>
      </c>
      <c r="K72" s="120" t="e">
        <f t="shared" si="21"/>
        <v>#REF!</v>
      </c>
      <c r="L72" s="120" t="e">
        <f t="shared" si="21"/>
        <v>#REF!</v>
      </c>
      <c r="M72" s="121" t="e">
        <f t="shared" si="21"/>
        <v>#REF!</v>
      </c>
      <c r="N72" s="121">
        <f t="shared" si="21"/>
        <v>30</v>
      </c>
      <c r="O72" s="120">
        <f t="shared" si="21"/>
        <v>80</v>
      </c>
      <c r="P72" s="134" t="e">
        <f t="shared" si="21"/>
        <v>#REF!</v>
      </c>
      <c r="Q72" s="130" t="e">
        <f t="shared" si="21"/>
        <v>#REF!</v>
      </c>
      <c r="R72" s="134" t="e">
        <f t="shared" si="21"/>
        <v>#VALUE!</v>
      </c>
      <c r="S72" s="130" t="e">
        <f t="shared" si="21"/>
        <v>#VALUE!</v>
      </c>
      <c r="U72" s="122" t="e">
        <f>SUM(U37:U67)</f>
        <v>#REF!</v>
      </c>
      <c r="V72" s="122" t="e">
        <f>SUM(V37:V67)</f>
        <v>#VALUE!</v>
      </c>
      <c r="AO72"/>
      <c r="AP72"/>
      <c r="AQ72"/>
      <c r="AX72"/>
      <c r="AY72"/>
      <c r="AZ72"/>
    </row>
    <row r="73" spans="1:52" x14ac:dyDescent="0.25">
      <c r="AO73"/>
      <c r="AP73"/>
      <c r="AQ73"/>
      <c r="AX73"/>
      <c r="AY73"/>
      <c r="AZ73"/>
    </row>
    <row r="74" spans="1:52" x14ac:dyDescent="0.25">
      <c r="AO74"/>
      <c r="AP74"/>
      <c r="AQ74"/>
      <c r="AX74"/>
      <c r="AY74"/>
      <c r="AZ74"/>
    </row>
    <row r="75" spans="1:52" x14ac:dyDescent="0.25">
      <c r="AO75"/>
      <c r="AP75"/>
      <c r="AQ75"/>
      <c r="AX75"/>
      <c r="AY75"/>
      <c r="AZ75"/>
    </row>
    <row r="76" spans="1:52" x14ac:dyDescent="0.25">
      <c r="AO76"/>
      <c r="AP76"/>
      <c r="AQ76"/>
      <c r="AX76"/>
      <c r="AY76"/>
      <c r="AZ76"/>
    </row>
    <row r="77" spans="1:52" x14ac:dyDescent="0.25">
      <c r="G77" s="1"/>
    </row>
  </sheetData>
  <mergeCells count="46">
    <mergeCell ref="X37:AS38"/>
    <mergeCell ref="A35:V35"/>
    <mergeCell ref="A39:B39"/>
    <mergeCell ref="C40:I40"/>
    <mergeCell ref="A38:V38"/>
    <mergeCell ref="C39:V39"/>
    <mergeCell ref="A68:V68"/>
    <mergeCell ref="T69:T70"/>
    <mergeCell ref="A72:I72"/>
    <mergeCell ref="J69:O69"/>
    <mergeCell ref="J70:L70"/>
    <mergeCell ref="M70:N70"/>
    <mergeCell ref="A69:I70"/>
    <mergeCell ref="A32:V33"/>
    <mergeCell ref="C34:I34"/>
    <mergeCell ref="C44:I44"/>
    <mergeCell ref="C45:I45"/>
    <mergeCell ref="C46:I46"/>
    <mergeCell ref="A36:B36"/>
    <mergeCell ref="A43:B43"/>
    <mergeCell ref="C36:V36"/>
    <mergeCell ref="C43:V43"/>
    <mergeCell ref="C41:I41"/>
    <mergeCell ref="C67:I67"/>
    <mergeCell ref="C58:I58"/>
    <mergeCell ref="C59:I59"/>
    <mergeCell ref="C60:I60"/>
    <mergeCell ref="C61:I61"/>
    <mergeCell ref="C62:I62"/>
    <mergeCell ref="C63:I63"/>
    <mergeCell ref="B1:V1"/>
    <mergeCell ref="T25:U28"/>
    <mergeCell ref="C64:I64"/>
    <mergeCell ref="C65:I65"/>
    <mergeCell ref="C66:I66"/>
    <mergeCell ref="C52:I52"/>
    <mergeCell ref="C53:I53"/>
    <mergeCell ref="C54:I54"/>
    <mergeCell ref="C55:I55"/>
    <mergeCell ref="C56:I56"/>
    <mergeCell ref="C57:I57"/>
    <mergeCell ref="C47:I47"/>
    <mergeCell ref="C48:I48"/>
    <mergeCell ref="C49:I49"/>
    <mergeCell ref="C50:I50"/>
    <mergeCell ref="C51:I51"/>
  </mergeCells>
  <dataValidations yWindow="412" count="2">
    <dataValidation type="list" allowBlank="1" showInputMessage="1" showErrorMessage="1" promptTitle="Produttività della Linea" prompt="Seleziona l'ID" sqref="A37" xr:uid="{2703B354-0441-4ABD-A543-06C6123EDAA8}">
      <formula1>$A$4:$A$20</formula1>
    </dataValidation>
    <dataValidation type="list" allowBlank="1" showInputMessage="1" showErrorMessage="1" promptTitle="Seleziona l'ID dell'Optional" sqref="A44:A67" xr:uid="{59E0DA5F-1427-43E1-A20A-C1EEF8C87910}">
      <formula1>$X$3:$BA$3</formula1>
    </dataValidation>
  </dataValidations>
  <pageMargins left="0.23622047244094491" right="0.23622047244094491" top="0.74803149606299213" bottom="0.74803149606299213" header="0.31496062992125984" footer="0.31496062992125984"/>
  <pageSetup paperSize="9" scale="45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515F4FAB-54A5-4E1B-B096-9C3D21DC038C}">
            <xm:f>MATCH($A40,VALORI!E3:E5, 0)&gt;1</xm:f>
            <x14:dxf>
              <numFmt numFmtId="166" formatCode=";;;"/>
            </x14:dxf>
          </x14:cfRule>
          <xm:sqref>P34</xm:sqref>
        </x14:conditionalFormatting>
        <x14:conditionalFormatting xmlns:xm="http://schemas.microsoft.com/office/excel/2006/main">
          <x14:cfRule type="expression" priority="2" id="{91993FAD-888F-41F0-B93A-5DDEDE65ABFA}">
            <xm:f>MATCH($A15,VALORI!E1048554:E1048556, 0)&gt;1</xm:f>
            <x14:dxf>
              <numFmt numFmtId="166" formatCode=";;;"/>
            </x14:dxf>
          </x14:cfRule>
          <xm:sqref>P44:P67 P69:P72</xm:sqref>
        </x14:conditionalFormatting>
        <x14:conditionalFormatting xmlns:xm="http://schemas.microsoft.com/office/excel/2006/main">
          <x14:cfRule type="expression" priority="7" id="{E9FAD1A1-081A-4084-B0B1-442F2A9F19F6}">
            <xm:f>MATCH($A40,VALORI!E3:E5, 0)=1</xm:f>
            <x14:dxf>
              <numFmt numFmtId="166" formatCode=";;;"/>
            </x14:dxf>
          </x14:cfRule>
          <xm:sqref>Q34</xm:sqref>
        </x14:conditionalFormatting>
        <x14:conditionalFormatting xmlns:xm="http://schemas.microsoft.com/office/excel/2006/main">
          <x14:cfRule type="expression" priority="6" id="{1F9EA957-7865-42F6-8C40-F9D6B3942BCA}">
            <xm:f>MATCH($A40,VALORI!E3:E5, 0)&gt;1</xm:f>
            <x14:dxf>
              <numFmt numFmtId="166" formatCode=";;;"/>
            </x14:dxf>
          </x14:cfRule>
          <xm:sqref>R34</xm:sqref>
        </x14:conditionalFormatting>
        <x14:conditionalFormatting xmlns:xm="http://schemas.microsoft.com/office/excel/2006/main">
          <x14:cfRule type="expression" priority="5" id="{94D6F4D6-8039-40F6-8121-CCA1A5C282E9}">
            <xm:f>MATCH($A40,VALORI!E3:E5, 0)=1</xm:f>
            <x14:dxf>
              <numFmt numFmtId="166" formatCode=";;;"/>
            </x14:dxf>
          </x14:cfRule>
          <xm:sqref>S34</xm:sqref>
        </x14:conditionalFormatting>
        <x14:conditionalFormatting xmlns:xm="http://schemas.microsoft.com/office/excel/2006/main">
          <x14:cfRule type="expression" priority="4" id="{FBBCEDFE-AE15-43C7-8C56-45C11D8F9CFC}">
            <xm:f>MATCH($A40,VALORI!E3:E5, 0)&gt;1</xm:f>
            <x14:dxf>
              <numFmt numFmtId="166" formatCode=";;;"/>
            </x14:dxf>
          </x14:cfRule>
          <xm:sqref>U34</xm:sqref>
        </x14:conditionalFormatting>
        <x14:conditionalFormatting xmlns:xm="http://schemas.microsoft.com/office/excel/2006/main">
          <x14:cfRule type="expression" priority="3" id="{3C1CF63A-B586-4851-AA13-56DC401780E3}">
            <xm:f>MATCH($A40,VALORI!E3:E5, 0)=1</xm:f>
            <x14:dxf>
              <numFmt numFmtId="166" formatCode=";;;"/>
            </x14:dxf>
          </x14:cfRule>
          <xm:sqref>V34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yWindow="412" count="2">
        <x14:dataValidation type="list" allowBlank="1" showInputMessage="1" showErrorMessage="1" xr:uid="{B35C8B1A-2C00-4D3B-B400-F3F647E4F5B1}">
          <x14:formula1>
            <xm:f>VALORI!$E$3:$E$5</xm:f>
          </x14:formula1>
          <xm:sqref>B27</xm:sqref>
        </x14:dataValidation>
        <x14:dataValidation type="list" allowBlank="1" showInputMessage="1" showErrorMessage="1" promptTitle="NORME" prompt="Seleziona ID Norme" xr:uid="{BFB56FA5-461F-4EBE-9EBF-6837CAF15A41}">
          <x14:formula1>
            <xm:f>VALORI!$E$3:$E$5</xm:f>
          </x14:formula1>
          <xm:sqref>A40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74"/>
  <sheetViews>
    <sheetView topLeftCell="A2" zoomScale="70" zoomScaleNormal="70" workbookViewId="0">
      <selection activeCell="AD5" sqref="AD5"/>
    </sheetView>
  </sheetViews>
  <sheetFormatPr defaultColWidth="8.85546875" defaultRowHeight="15" x14ac:dyDescent="0.25"/>
  <cols>
    <col min="1" max="1" width="18.7109375" customWidth="1"/>
    <col min="2" max="3" width="18.7109375" bestFit="1" customWidth="1"/>
    <col min="4" max="4" width="13.85546875" bestFit="1" customWidth="1"/>
    <col min="5" max="5" width="11.5703125" bestFit="1" customWidth="1"/>
    <col min="6" max="6" width="43.85546875" customWidth="1"/>
    <col min="7" max="7" width="17.85546875" customWidth="1"/>
    <col min="8" max="8" width="5.28515625" customWidth="1"/>
    <col min="9" max="14" width="5.7109375" customWidth="1"/>
    <col min="15" max="16" width="14.42578125" bestFit="1" customWidth="1"/>
    <col min="17" max="18" width="13.140625" bestFit="1" customWidth="1"/>
    <col min="19" max="19" width="25.85546875" customWidth="1"/>
    <col min="20" max="21" width="14" bestFit="1" customWidth="1"/>
    <col min="22" max="22" width="9.140625"/>
    <col min="23" max="23" width="12.140625" customWidth="1"/>
    <col min="24" max="24" width="13.42578125" bestFit="1" customWidth="1"/>
    <col min="25" max="26" width="12.85546875" bestFit="1" customWidth="1"/>
    <col min="27" max="27" width="12.140625" customWidth="1"/>
    <col min="28" max="28" width="11.5703125" customWidth="1"/>
    <col min="29" max="33" width="12.140625" bestFit="1" customWidth="1"/>
    <col min="34" max="34" width="12.140625" customWidth="1"/>
    <col min="35" max="35" width="12.42578125" customWidth="1"/>
    <col min="36" max="36" width="12.140625" customWidth="1"/>
    <col min="37" max="37" width="13.42578125" bestFit="1" customWidth="1"/>
    <col min="38" max="39" width="13.28515625" customWidth="1"/>
    <col min="40" max="41" width="13.28515625" style="84" customWidth="1"/>
    <col min="42" max="42" width="12.140625" customWidth="1"/>
    <col min="43" max="43" width="11.5703125" customWidth="1"/>
    <col min="44" max="44" width="1.5703125" customWidth="1"/>
    <col min="45" max="48" width="11.5703125" customWidth="1"/>
    <col min="49" max="49" width="1.5703125" customWidth="1"/>
    <col min="50" max="51" width="12.28515625" bestFit="1" customWidth="1"/>
  </cols>
  <sheetData>
    <row r="1" spans="1:51" ht="21.75" thickBot="1" x14ac:dyDescent="0.35">
      <c r="A1" s="215" t="s">
        <v>120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7"/>
      <c r="W1" s="51" t="s">
        <v>13</v>
      </c>
      <c r="X1" s="51" t="s">
        <v>13</v>
      </c>
      <c r="Y1" s="38" t="s">
        <v>13</v>
      </c>
      <c r="Z1" s="38" t="s">
        <v>13</v>
      </c>
      <c r="AA1" s="50" t="s">
        <v>13</v>
      </c>
      <c r="AB1" s="50"/>
      <c r="AC1" s="45" t="s">
        <v>13</v>
      </c>
      <c r="AD1" s="44" t="s">
        <v>13</v>
      </c>
      <c r="AE1" s="44" t="s">
        <v>13</v>
      </c>
      <c r="AF1" s="44" t="s">
        <v>13</v>
      </c>
      <c r="AG1" s="44" t="s">
        <v>13</v>
      </c>
      <c r="AH1" s="45" t="s">
        <v>13</v>
      </c>
      <c r="AI1" s="45" t="s">
        <v>13</v>
      </c>
      <c r="AJ1" s="46" t="s">
        <v>13</v>
      </c>
      <c r="AK1" s="46" t="s">
        <v>13</v>
      </c>
      <c r="AL1" s="46" t="s">
        <v>13</v>
      </c>
      <c r="AM1" s="46" t="s">
        <v>13</v>
      </c>
      <c r="AN1" s="46" t="s">
        <v>13</v>
      </c>
      <c r="AO1" s="46" t="s">
        <v>13</v>
      </c>
      <c r="AP1" s="46" t="s">
        <v>13</v>
      </c>
      <c r="AQ1" s="37" t="s">
        <v>13</v>
      </c>
      <c r="AR1" s="47"/>
      <c r="AS1" s="42" t="s">
        <v>13</v>
      </c>
      <c r="AT1" s="42" t="s">
        <v>13</v>
      </c>
      <c r="AU1" s="42" t="s">
        <v>13</v>
      </c>
      <c r="AV1" s="42" t="s">
        <v>13</v>
      </c>
      <c r="AW1" s="47"/>
      <c r="AX1" s="43" t="s">
        <v>13</v>
      </c>
      <c r="AY1" s="43" t="s">
        <v>13</v>
      </c>
    </row>
    <row r="2" spans="1:51" ht="200.25" customHeight="1" x14ac:dyDescent="0.25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/>
      <c r="I2" s="14" t="s">
        <v>21</v>
      </c>
      <c r="J2" s="14" t="s">
        <v>22</v>
      </c>
      <c r="K2" s="14" t="s">
        <v>23</v>
      </c>
      <c r="L2" s="14" t="s">
        <v>24</v>
      </c>
      <c r="M2" s="14" t="s">
        <v>25</v>
      </c>
      <c r="N2" s="14" t="s">
        <v>26</v>
      </c>
      <c r="O2" s="18" t="s">
        <v>27</v>
      </c>
      <c r="P2" s="15" t="s">
        <v>28</v>
      </c>
      <c r="Q2" s="20" t="s">
        <v>29</v>
      </c>
      <c r="R2" s="22" t="s">
        <v>30</v>
      </c>
      <c r="S2" s="21" t="s">
        <v>301</v>
      </c>
      <c r="T2" s="31" t="s">
        <v>31</v>
      </c>
      <c r="U2" s="31" t="s">
        <v>32</v>
      </c>
      <c r="W2" s="36" t="s">
        <v>33</v>
      </c>
      <c r="X2" s="36" t="s">
        <v>34</v>
      </c>
      <c r="Y2" s="36" t="s">
        <v>35</v>
      </c>
      <c r="Z2" s="36" t="s">
        <v>36</v>
      </c>
      <c r="AA2" s="36" t="s">
        <v>37</v>
      </c>
      <c r="AB2" s="36" t="s">
        <v>318</v>
      </c>
      <c r="AC2" s="36" t="s">
        <v>38</v>
      </c>
      <c r="AD2" s="36" t="s">
        <v>39</v>
      </c>
      <c r="AE2" s="36" t="s">
        <v>40</v>
      </c>
      <c r="AF2" s="36" t="s">
        <v>41</v>
      </c>
      <c r="AG2" s="36" t="s">
        <v>42</v>
      </c>
      <c r="AH2" s="36" t="s">
        <v>43</v>
      </c>
      <c r="AI2" s="36" t="s">
        <v>326</v>
      </c>
      <c r="AJ2" s="36" t="s">
        <v>44</v>
      </c>
      <c r="AK2" s="36" t="s">
        <v>45</v>
      </c>
      <c r="AL2" s="36" t="s">
        <v>358</v>
      </c>
      <c r="AM2" s="36" t="s">
        <v>359</v>
      </c>
      <c r="AN2" s="36" t="s">
        <v>357</v>
      </c>
      <c r="AO2" s="36" t="s">
        <v>302</v>
      </c>
      <c r="AP2" s="36" t="s">
        <v>46</v>
      </c>
      <c r="AQ2" s="36" t="s">
        <v>47</v>
      </c>
      <c r="AR2" s="48"/>
      <c r="AS2" s="36" t="s">
        <v>48</v>
      </c>
      <c r="AT2" s="36" t="s">
        <v>49</v>
      </c>
      <c r="AU2" s="36" t="s">
        <v>50</v>
      </c>
      <c r="AV2" s="36" t="s">
        <v>51</v>
      </c>
      <c r="AW2" s="48"/>
      <c r="AX2" s="36" t="s">
        <v>52</v>
      </c>
      <c r="AY2" s="36" t="s">
        <v>53</v>
      </c>
    </row>
    <row r="3" spans="1:51" ht="20.25" customHeight="1" x14ac:dyDescent="0.35">
      <c r="A3" s="11">
        <v>500</v>
      </c>
      <c r="B3" s="19" t="s">
        <v>54</v>
      </c>
      <c r="C3" s="19" t="s">
        <v>54</v>
      </c>
      <c r="D3" s="19" t="s">
        <v>54</v>
      </c>
      <c r="E3" s="19"/>
      <c r="F3" s="19" t="s">
        <v>54</v>
      </c>
      <c r="G3" s="19" t="s">
        <v>54</v>
      </c>
      <c r="H3" s="19"/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4">
        <f>(VALORI!B$3 * 'PASTA CORTA - TCM100'!I3) + (VALORI!B$4 * 'PASTA CORTA - TCM100'!J3) + (VALORI!B$4 * 'PASTA CORTA - TCM100'!K3) + (VALORI!B$5 * 'PASTA CORTA - TCM100'!L3) + (VALORI!B$6 * 'PASTA CORTA - TCM100'!M3) + (VALORI!B$7 * 'PASTA CORTA - TCM100'!N3)</f>
        <v>0</v>
      </c>
      <c r="P3" s="33">
        <f>(O3*25%)+O3</f>
        <v>0</v>
      </c>
      <c r="Q3" s="25">
        <v>0</v>
      </c>
      <c r="R3" s="26">
        <f>(Q3*20%)+Q3</f>
        <v>0</v>
      </c>
      <c r="S3" s="27"/>
      <c r="T3" s="28">
        <f t="shared" ref="T3:T18" si="0">O3+Q3</f>
        <v>0</v>
      </c>
      <c r="U3" s="28">
        <f t="shared" ref="U3:U18" si="1">P3+R3</f>
        <v>0</v>
      </c>
      <c r="V3" s="35" t="s">
        <v>55</v>
      </c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49"/>
      <c r="AS3" s="28"/>
      <c r="AT3" s="28"/>
      <c r="AU3" s="28"/>
      <c r="AV3" s="28"/>
      <c r="AW3" s="49"/>
      <c r="AX3" s="28"/>
      <c r="AY3" s="28"/>
    </row>
    <row r="4" spans="1:51" ht="20.25" customHeight="1" x14ac:dyDescent="0.35">
      <c r="A4" s="11">
        <v>750</v>
      </c>
      <c r="B4" s="19" t="s">
        <v>54</v>
      </c>
      <c r="C4" s="19" t="s">
        <v>54</v>
      </c>
      <c r="D4" s="19" t="s">
        <v>54</v>
      </c>
      <c r="E4" s="19" t="s">
        <v>54</v>
      </c>
      <c r="F4" s="19" t="s">
        <v>54</v>
      </c>
      <c r="G4" s="19" t="s">
        <v>54</v>
      </c>
      <c r="H4" s="19"/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4">
        <f>(VALORI!B$3 * 'PASTA CORTA - TCM100'!I4) + (VALORI!B$4 * 'PASTA CORTA - TCM100'!J4) + (VALORI!B$4 * 'PASTA CORTA - TCM100'!K4) + (VALORI!B$5 * 'PASTA CORTA - TCM100'!L4) + (VALORI!B$6 * 'PASTA CORTA - TCM100'!M4) + (VALORI!B$7 * 'PASTA CORTA - TCM100'!N4)</f>
        <v>0</v>
      </c>
      <c r="P4" s="33">
        <f t="shared" ref="P4:P18" si="2">(O4*25%)+O4</f>
        <v>0</v>
      </c>
      <c r="Q4" s="25">
        <v>0</v>
      </c>
      <c r="R4" s="26">
        <f t="shared" ref="R4:R18" si="3">(Q4*20%)+Q4</f>
        <v>0</v>
      </c>
      <c r="S4" s="27"/>
      <c r="T4" s="28">
        <f t="shared" si="0"/>
        <v>0</v>
      </c>
      <c r="U4" s="28">
        <f t="shared" si="1"/>
        <v>0</v>
      </c>
      <c r="V4" s="35" t="s">
        <v>55</v>
      </c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49"/>
      <c r="AS4" s="28">
        <v>400</v>
      </c>
      <c r="AT4" s="28">
        <v>4800</v>
      </c>
      <c r="AU4" s="28">
        <v>1100</v>
      </c>
      <c r="AV4" s="28">
        <v>2880</v>
      </c>
      <c r="AW4" s="49"/>
      <c r="AX4" s="28">
        <v>36650</v>
      </c>
      <c r="AY4" s="28">
        <v>29290</v>
      </c>
    </row>
    <row r="5" spans="1:51" ht="20.25" customHeight="1" x14ac:dyDescent="0.35">
      <c r="A5" s="11">
        <v>1000</v>
      </c>
      <c r="B5" s="19" t="s">
        <v>54</v>
      </c>
      <c r="C5" s="19" t="s">
        <v>54</v>
      </c>
      <c r="D5" s="19" t="s">
        <v>54</v>
      </c>
      <c r="E5" s="19" t="s">
        <v>54</v>
      </c>
      <c r="F5" s="19" t="s">
        <v>54</v>
      </c>
      <c r="G5" s="19" t="s">
        <v>54</v>
      </c>
      <c r="H5" s="19"/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4">
        <f>(VALORI!B$3 * 'PASTA CORTA - TCM100'!I5) + (VALORI!B$4 * 'PASTA CORTA - TCM100'!J5) + (VALORI!B$4 * 'PASTA CORTA - TCM100'!K5) + (VALORI!B$5 * 'PASTA CORTA - TCM100'!L5) + (VALORI!B$6 * 'PASTA CORTA - TCM100'!M5) + (VALORI!B$7 * 'PASTA CORTA - TCM100'!N5)</f>
        <v>0</v>
      </c>
      <c r="P5" s="33">
        <f t="shared" si="2"/>
        <v>0</v>
      </c>
      <c r="Q5" s="25">
        <v>0</v>
      </c>
      <c r="R5" s="26">
        <f t="shared" si="3"/>
        <v>0</v>
      </c>
      <c r="S5" s="27"/>
      <c r="T5" s="28">
        <f t="shared" si="0"/>
        <v>0</v>
      </c>
      <c r="U5" s="28">
        <f t="shared" si="1"/>
        <v>0</v>
      </c>
      <c r="V5" s="35" t="s">
        <v>55</v>
      </c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49"/>
      <c r="AS5" s="28">
        <v>400</v>
      </c>
      <c r="AT5" s="28">
        <v>4800</v>
      </c>
      <c r="AU5" s="28">
        <v>1100</v>
      </c>
      <c r="AV5" s="28">
        <v>2880</v>
      </c>
      <c r="AW5" s="49"/>
      <c r="AX5" s="28">
        <v>36650</v>
      </c>
      <c r="AY5" s="28">
        <v>29290</v>
      </c>
    </row>
    <row r="6" spans="1:51" ht="20.25" customHeight="1" x14ac:dyDescent="0.35">
      <c r="A6" s="11">
        <v>1500</v>
      </c>
      <c r="B6" s="19" t="s">
        <v>54</v>
      </c>
      <c r="C6" s="19" t="s">
        <v>54</v>
      </c>
      <c r="D6" s="19" t="s">
        <v>54</v>
      </c>
      <c r="E6" s="19" t="s">
        <v>54</v>
      </c>
      <c r="F6" s="19" t="s">
        <v>54</v>
      </c>
      <c r="G6" s="19" t="s">
        <v>54</v>
      </c>
      <c r="H6" s="19"/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4">
        <f>(VALORI!B$3 * 'PASTA CORTA - TCM100'!I6) + (VALORI!B$4 * 'PASTA CORTA - TCM100'!J6) + (VALORI!B$4 * 'PASTA CORTA - TCM100'!K6) + (VALORI!B$5 * 'PASTA CORTA - TCM100'!L6) + (VALORI!B$6 * 'PASTA CORTA - TCM100'!M6) + (VALORI!B$7 * 'PASTA CORTA - TCM100'!N6)</f>
        <v>0</v>
      </c>
      <c r="P6" s="33">
        <f t="shared" si="2"/>
        <v>0</v>
      </c>
      <c r="Q6" s="25">
        <v>0</v>
      </c>
      <c r="R6" s="26">
        <f t="shared" si="3"/>
        <v>0</v>
      </c>
      <c r="S6" s="27"/>
      <c r="T6" s="28">
        <f t="shared" si="0"/>
        <v>0</v>
      </c>
      <c r="U6" s="28">
        <f t="shared" si="1"/>
        <v>0</v>
      </c>
      <c r="V6" s="35" t="s">
        <v>55</v>
      </c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49"/>
      <c r="AS6" s="28">
        <v>400</v>
      </c>
      <c r="AT6" s="28">
        <v>4800</v>
      </c>
      <c r="AU6" s="28">
        <v>1100</v>
      </c>
      <c r="AV6" s="28">
        <v>2880</v>
      </c>
      <c r="AW6" s="49"/>
      <c r="AX6" s="28">
        <v>36650</v>
      </c>
      <c r="AY6" s="28">
        <v>29290</v>
      </c>
    </row>
    <row r="7" spans="1:51" ht="20.25" customHeight="1" x14ac:dyDescent="0.35">
      <c r="A7" s="11">
        <v>2000</v>
      </c>
      <c r="B7" s="10" t="s">
        <v>73</v>
      </c>
      <c r="C7" s="10" t="s">
        <v>57</v>
      </c>
      <c r="D7" s="10" t="s">
        <v>121</v>
      </c>
      <c r="E7" s="10" t="s">
        <v>75</v>
      </c>
      <c r="F7" s="10" t="s">
        <v>122</v>
      </c>
      <c r="G7" s="10" t="s">
        <v>123</v>
      </c>
      <c r="H7" s="10"/>
      <c r="I7" s="3">
        <v>90</v>
      </c>
      <c r="J7" s="3">
        <v>40</v>
      </c>
      <c r="K7" s="3">
        <v>40</v>
      </c>
      <c r="L7" s="3">
        <v>435</v>
      </c>
      <c r="M7" s="3">
        <v>50</v>
      </c>
      <c r="N7" s="3">
        <v>80</v>
      </c>
      <c r="O7" s="34">
        <f>(VALORI!B$3 * 'PASTA CORTA - TCM100'!I7) + (VALORI!B$4 * 'PASTA CORTA - TCM100'!J7) + (VALORI!B$4 * 'PASTA CORTA - TCM100'!K7) + (VALORI!B$5 * 'PASTA CORTA - TCM100'!L7) + (VALORI!B$6 * 'PASTA CORTA - TCM100'!M7) + (VALORI!B$7 * 'PASTA CORTA - TCM100'!N7)</f>
        <v>23475</v>
      </c>
      <c r="P7" s="33">
        <f t="shared" si="2"/>
        <v>29343.75</v>
      </c>
      <c r="Q7" s="25">
        <v>69285.216</v>
      </c>
      <c r="R7" s="26">
        <f t="shared" si="3"/>
        <v>83142.2592</v>
      </c>
      <c r="S7" s="27" t="s">
        <v>77</v>
      </c>
      <c r="T7" s="28">
        <f t="shared" si="0"/>
        <v>92760.216</v>
      </c>
      <c r="U7" s="28">
        <f t="shared" si="1"/>
        <v>112486.0092</v>
      </c>
      <c r="V7" s="35" t="s">
        <v>55</v>
      </c>
      <c r="W7" s="28">
        <f t="shared" ref="W7:W15" si="4">(Q7*6%)</f>
        <v>4157.1129599999995</v>
      </c>
      <c r="X7" s="28">
        <f t="shared" ref="X7:X15" si="5">(Q7*20%)</f>
        <v>13857.0432</v>
      </c>
      <c r="Y7" s="28">
        <v>7000</v>
      </c>
      <c r="Z7" s="28">
        <f t="shared" ref="Z7:Z15" si="6">(Y7*65%)+Y7</f>
        <v>11550</v>
      </c>
      <c r="AA7" s="28">
        <v>3800</v>
      </c>
      <c r="AB7" s="28">
        <v>5500</v>
      </c>
      <c r="AC7" s="28">
        <v>1300</v>
      </c>
      <c r="AD7" s="28">
        <v>8000</v>
      </c>
      <c r="AE7" s="28">
        <v>2200</v>
      </c>
      <c r="AF7" s="28">
        <v>2800</v>
      </c>
      <c r="AG7" s="28">
        <v>1100</v>
      </c>
      <c r="AH7" s="28">
        <v>4000</v>
      </c>
      <c r="AI7" s="28">
        <v>2100</v>
      </c>
      <c r="AJ7" s="28">
        <v>1600</v>
      </c>
      <c r="AK7" s="28">
        <v>7000</v>
      </c>
      <c r="AL7" s="28">
        <f t="shared" ref="AL7:AL15" si="7">(AK7*15%)</f>
        <v>1050</v>
      </c>
      <c r="AM7" s="28">
        <v>720</v>
      </c>
      <c r="AN7" s="28">
        <v>1100</v>
      </c>
      <c r="AO7" s="28">
        <v>1700</v>
      </c>
      <c r="AP7" s="28" t="s">
        <v>63</v>
      </c>
      <c r="AQ7" s="28">
        <v>8000</v>
      </c>
      <c r="AR7" s="49"/>
      <c r="AS7" s="28">
        <v>400</v>
      </c>
      <c r="AT7" s="28">
        <v>4800</v>
      </c>
      <c r="AU7" s="28">
        <v>1100</v>
      </c>
      <c r="AV7" s="28">
        <v>2880</v>
      </c>
      <c r="AW7" s="49"/>
      <c r="AX7" s="28">
        <v>36650</v>
      </c>
      <c r="AY7" s="28">
        <v>29290</v>
      </c>
    </row>
    <row r="8" spans="1:51" ht="20.25" customHeight="1" x14ac:dyDescent="0.35">
      <c r="A8" s="54">
        <v>2500</v>
      </c>
      <c r="B8" s="55" t="s">
        <v>54</v>
      </c>
      <c r="C8" s="55" t="s">
        <v>54</v>
      </c>
      <c r="D8" s="55" t="s">
        <v>54</v>
      </c>
      <c r="E8" s="55" t="s">
        <v>54</v>
      </c>
      <c r="F8" s="55" t="s">
        <v>54</v>
      </c>
      <c r="G8" s="55" t="s">
        <v>54</v>
      </c>
      <c r="H8" s="55"/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56">
        <v>0</v>
      </c>
      <c r="O8" s="57">
        <f>(VALORI!B$3 * 'PASTA CORTA - TCM100'!I8) + (VALORI!B$4 * 'PASTA CORTA - TCM100'!J8) + (VALORI!B$4 * 'PASTA CORTA - TCM100'!K8) + (VALORI!B$5 * 'PASTA CORTA - TCM100'!L8) + (VALORI!B$6 * 'PASTA CORTA - TCM100'!M8) + (VALORI!B$7 * 'PASTA CORTA - TCM100'!N8)</f>
        <v>0</v>
      </c>
      <c r="P8" s="58">
        <f t="shared" si="2"/>
        <v>0</v>
      </c>
      <c r="Q8" s="59">
        <v>0</v>
      </c>
      <c r="R8" s="26">
        <f t="shared" si="3"/>
        <v>0</v>
      </c>
      <c r="S8" s="61" t="s">
        <v>82</v>
      </c>
      <c r="T8" s="62">
        <f t="shared" si="0"/>
        <v>0</v>
      </c>
      <c r="U8" s="62">
        <f t="shared" si="1"/>
        <v>0</v>
      </c>
      <c r="V8" s="35" t="s">
        <v>55</v>
      </c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28"/>
      <c r="AM8" s="28"/>
      <c r="AN8" s="28"/>
      <c r="AO8" s="62"/>
      <c r="AP8" s="62"/>
      <c r="AQ8" s="62">
        <v>8000</v>
      </c>
      <c r="AR8" s="63"/>
      <c r="AS8" s="62">
        <v>400</v>
      </c>
      <c r="AT8" s="62">
        <v>4800</v>
      </c>
      <c r="AU8" s="62">
        <v>1100</v>
      </c>
      <c r="AV8" s="62">
        <v>2880</v>
      </c>
      <c r="AW8" s="63"/>
      <c r="AX8" s="62">
        <v>36650</v>
      </c>
      <c r="AY8" s="62">
        <v>29290</v>
      </c>
    </row>
    <row r="9" spans="1:51" s="5" customFormat="1" ht="20.25" customHeight="1" x14ac:dyDescent="0.35">
      <c r="A9" s="11">
        <v>3000</v>
      </c>
      <c r="B9" s="10" t="s">
        <v>124</v>
      </c>
      <c r="C9" s="10" t="s">
        <v>57</v>
      </c>
      <c r="D9" s="10" t="s">
        <v>125</v>
      </c>
      <c r="E9" s="10" t="s">
        <v>75</v>
      </c>
      <c r="F9" s="10" t="s">
        <v>126</v>
      </c>
      <c r="G9" s="10" t="s">
        <v>81</v>
      </c>
      <c r="H9" s="10"/>
      <c r="I9" s="3">
        <v>100</v>
      </c>
      <c r="J9" s="3">
        <v>40</v>
      </c>
      <c r="K9" s="3">
        <v>40</v>
      </c>
      <c r="L9" s="3">
        <v>480</v>
      </c>
      <c r="M9" s="3">
        <v>55</v>
      </c>
      <c r="N9" s="3">
        <v>80</v>
      </c>
      <c r="O9" s="34">
        <f>(VALORI!B$3 * 'PASTA CORTA - TCM100'!I9) + (VALORI!B$4 * 'PASTA CORTA - TCM100'!J9) + (VALORI!B$4 * 'PASTA CORTA - TCM100'!K9) + (VALORI!B$5 * 'PASTA CORTA - TCM100'!L9) + (VALORI!B$6 * 'PASTA CORTA - TCM100'!M9) + (VALORI!B$7 * 'PASTA CORTA - TCM100'!N9)</f>
        <v>25295</v>
      </c>
      <c r="P9" s="33">
        <f t="shared" si="2"/>
        <v>31618.75</v>
      </c>
      <c r="Q9" s="25">
        <v>74234.16</v>
      </c>
      <c r="R9" s="26">
        <f t="shared" si="3"/>
        <v>89080.991999999998</v>
      </c>
      <c r="S9" s="27" t="s">
        <v>85</v>
      </c>
      <c r="T9" s="28">
        <f t="shared" si="0"/>
        <v>99529.16</v>
      </c>
      <c r="U9" s="28">
        <f t="shared" si="1"/>
        <v>120699.742</v>
      </c>
      <c r="V9" s="74" t="s">
        <v>55</v>
      </c>
      <c r="W9" s="28">
        <f t="shared" si="4"/>
        <v>4454.0496000000003</v>
      </c>
      <c r="X9" s="28">
        <f t="shared" si="5"/>
        <v>14846.832000000002</v>
      </c>
      <c r="Y9" s="28">
        <v>8000</v>
      </c>
      <c r="Z9" s="28">
        <f t="shared" si="6"/>
        <v>13200</v>
      </c>
      <c r="AA9" s="28">
        <v>3800</v>
      </c>
      <c r="AB9" s="28">
        <v>5500</v>
      </c>
      <c r="AC9" s="28">
        <v>1300</v>
      </c>
      <c r="AD9" s="28">
        <v>8000</v>
      </c>
      <c r="AE9" s="28">
        <v>2200</v>
      </c>
      <c r="AF9" s="28">
        <v>2800</v>
      </c>
      <c r="AG9" s="28">
        <v>1100</v>
      </c>
      <c r="AH9" s="28">
        <v>5000</v>
      </c>
      <c r="AI9" s="28">
        <v>2100</v>
      </c>
      <c r="AJ9" s="28">
        <v>1600</v>
      </c>
      <c r="AK9" s="28">
        <v>9000</v>
      </c>
      <c r="AL9" s="28">
        <f t="shared" si="7"/>
        <v>1350</v>
      </c>
      <c r="AM9" s="28">
        <v>720</v>
      </c>
      <c r="AN9" s="28">
        <v>1100</v>
      </c>
      <c r="AO9" s="28">
        <v>1900</v>
      </c>
      <c r="AP9" s="28" t="s">
        <v>63</v>
      </c>
      <c r="AQ9" s="28">
        <v>8000</v>
      </c>
      <c r="AR9" s="49"/>
      <c r="AS9" s="28">
        <v>400</v>
      </c>
      <c r="AT9" s="28">
        <v>4800</v>
      </c>
      <c r="AU9" s="28">
        <v>1100</v>
      </c>
      <c r="AV9" s="28">
        <v>2880</v>
      </c>
      <c r="AW9" s="49"/>
      <c r="AX9" s="28">
        <v>36650</v>
      </c>
      <c r="AY9" s="28">
        <v>29290</v>
      </c>
    </row>
    <row r="10" spans="1:51" ht="20.25" customHeight="1" x14ac:dyDescent="0.35">
      <c r="A10" s="64">
        <v>3500</v>
      </c>
      <c r="B10" s="65" t="s">
        <v>54</v>
      </c>
      <c r="C10" s="65" t="s">
        <v>54</v>
      </c>
      <c r="D10" s="65" t="s">
        <v>54</v>
      </c>
      <c r="E10" s="65" t="s">
        <v>54</v>
      </c>
      <c r="F10" s="65" t="s">
        <v>54</v>
      </c>
      <c r="G10" s="65" t="s">
        <v>54</v>
      </c>
      <c r="H10" s="65"/>
      <c r="I10" s="66">
        <v>0</v>
      </c>
      <c r="J10" s="66">
        <v>0</v>
      </c>
      <c r="K10" s="66">
        <v>0</v>
      </c>
      <c r="L10" s="66">
        <v>0</v>
      </c>
      <c r="M10" s="66">
        <v>0</v>
      </c>
      <c r="N10" s="66">
        <v>0</v>
      </c>
      <c r="O10" s="67">
        <f>(VALORI!B$3 * 'PASTA CORTA - TCM100'!I10) + (VALORI!B$4 * 'PASTA CORTA - TCM100'!J10) + (VALORI!B$4 * 'PASTA CORTA - TCM100'!K10) + (VALORI!B$5 * 'PASTA CORTA - TCM100'!L10) + (VALORI!B$6 * 'PASTA CORTA - TCM100'!M10) + (VALORI!B$7 * 'PASTA CORTA - TCM100'!N10)</f>
        <v>0</v>
      </c>
      <c r="P10" s="68">
        <f t="shared" si="2"/>
        <v>0</v>
      </c>
      <c r="Q10" s="69">
        <v>0</v>
      </c>
      <c r="R10" s="26">
        <f t="shared" si="3"/>
        <v>0</v>
      </c>
      <c r="S10" s="71"/>
      <c r="T10" s="72">
        <f t="shared" si="0"/>
        <v>0</v>
      </c>
      <c r="U10" s="72">
        <f t="shared" si="1"/>
        <v>0</v>
      </c>
      <c r="V10" s="35" t="s">
        <v>55</v>
      </c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28"/>
      <c r="AM10" s="28"/>
      <c r="AN10" s="28"/>
      <c r="AO10" s="72"/>
      <c r="AP10" s="72"/>
      <c r="AQ10" s="72"/>
      <c r="AR10" s="73"/>
      <c r="AS10" s="72"/>
      <c r="AT10" s="72"/>
      <c r="AU10" s="72"/>
      <c r="AV10" s="72"/>
      <c r="AW10" s="73"/>
      <c r="AX10" s="72"/>
      <c r="AY10" s="72"/>
    </row>
    <row r="11" spans="1:51" ht="20.25" customHeight="1" x14ac:dyDescent="0.35">
      <c r="A11" s="11">
        <v>4000</v>
      </c>
      <c r="B11" s="10" t="s">
        <v>86</v>
      </c>
      <c r="C11" s="10" t="s">
        <v>57</v>
      </c>
      <c r="D11" s="10" t="s">
        <v>127</v>
      </c>
      <c r="E11" s="10" t="s">
        <v>92</v>
      </c>
      <c r="F11" s="10" t="s">
        <v>128</v>
      </c>
      <c r="G11" s="10" t="s">
        <v>129</v>
      </c>
      <c r="H11" s="10"/>
      <c r="I11" s="3">
        <v>110</v>
      </c>
      <c r="J11" s="3">
        <v>50</v>
      </c>
      <c r="K11" s="3">
        <v>50</v>
      </c>
      <c r="L11" s="3">
        <v>520</v>
      </c>
      <c r="M11" s="3">
        <v>60</v>
      </c>
      <c r="N11" s="3">
        <v>100</v>
      </c>
      <c r="O11" s="34">
        <f>(VALORI!B$3 * 'PASTA CORTA - TCM100'!I11) + (VALORI!B$4 * 'PASTA CORTA - TCM100'!J11) + (VALORI!B$4 * 'PASTA CORTA - TCM100'!K11) + (VALORI!B$5 * 'PASTA CORTA - TCM100'!L11) + (VALORI!B$6 * 'PASTA CORTA - TCM100'!M11) + (VALORI!B$7 * 'PASTA CORTA - TCM100'!N11)</f>
        <v>28490</v>
      </c>
      <c r="P11" s="33">
        <f t="shared" si="2"/>
        <v>35612.5</v>
      </c>
      <c r="Q11" s="25">
        <v>90318.228000000003</v>
      </c>
      <c r="R11" s="26">
        <f t="shared" si="3"/>
        <v>108381.87360000001</v>
      </c>
      <c r="S11" s="27" t="s">
        <v>91</v>
      </c>
      <c r="T11" s="28">
        <f t="shared" si="0"/>
        <v>118808.228</v>
      </c>
      <c r="U11" s="28">
        <f t="shared" si="1"/>
        <v>143994.37359999999</v>
      </c>
      <c r="V11" s="35" t="s">
        <v>55</v>
      </c>
      <c r="W11" s="28">
        <f t="shared" si="4"/>
        <v>5419.0936799999999</v>
      </c>
      <c r="X11" s="28">
        <f t="shared" si="5"/>
        <v>18063.6456</v>
      </c>
      <c r="Y11" s="28">
        <v>10000</v>
      </c>
      <c r="Z11" s="28">
        <f t="shared" si="6"/>
        <v>16500</v>
      </c>
      <c r="AA11" s="28">
        <v>3800</v>
      </c>
      <c r="AB11" s="28">
        <v>5500</v>
      </c>
      <c r="AC11" s="28">
        <v>1300</v>
      </c>
      <c r="AD11" s="28">
        <v>8000</v>
      </c>
      <c r="AE11" s="28">
        <v>2200</v>
      </c>
      <c r="AF11" s="28">
        <v>2800</v>
      </c>
      <c r="AG11" s="28">
        <v>1100</v>
      </c>
      <c r="AH11" s="28">
        <v>4000</v>
      </c>
      <c r="AI11" s="28">
        <v>4200</v>
      </c>
      <c r="AJ11" s="28">
        <v>2200</v>
      </c>
      <c r="AK11" s="28">
        <v>9000</v>
      </c>
      <c r="AL11" s="28">
        <f t="shared" si="7"/>
        <v>1350</v>
      </c>
      <c r="AM11" s="28">
        <v>720</v>
      </c>
      <c r="AN11" s="28">
        <v>2200</v>
      </c>
      <c r="AO11" s="28">
        <v>1900</v>
      </c>
      <c r="AP11" s="28" t="s">
        <v>63</v>
      </c>
      <c r="AQ11" s="28">
        <v>8000</v>
      </c>
      <c r="AR11" s="49"/>
      <c r="AS11" s="28">
        <v>800</v>
      </c>
      <c r="AT11" s="28">
        <v>4800</v>
      </c>
      <c r="AU11" s="28">
        <v>1100</v>
      </c>
      <c r="AV11" s="28">
        <v>2880</v>
      </c>
      <c r="AW11" s="49"/>
      <c r="AX11" s="28">
        <v>36650</v>
      </c>
      <c r="AY11" s="28">
        <v>29290</v>
      </c>
    </row>
    <row r="12" spans="1:51" ht="20.25" customHeight="1" x14ac:dyDescent="0.35">
      <c r="A12" s="11">
        <v>4500</v>
      </c>
      <c r="B12" s="19" t="s">
        <v>54</v>
      </c>
      <c r="C12" s="19" t="s">
        <v>54</v>
      </c>
      <c r="D12" s="19" t="s">
        <v>54</v>
      </c>
      <c r="E12" s="19" t="s">
        <v>54</v>
      </c>
      <c r="F12" s="19" t="s">
        <v>54</v>
      </c>
      <c r="G12" s="19" t="s">
        <v>54</v>
      </c>
      <c r="H12" s="10"/>
      <c r="I12" s="3">
        <v>110</v>
      </c>
      <c r="J12" s="3">
        <v>50</v>
      </c>
      <c r="K12" s="3">
        <v>50</v>
      </c>
      <c r="L12" s="3">
        <v>530</v>
      </c>
      <c r="M12" s="3">
        <v>60</v>
      </c>
      <c r="N12" s="3">
        <v>100</v>
      </c>
      <c r="O12" s="34">
        <f>(VALORI!B$3 * 'PASTA CORTA - TCM100'!I12) + (VALORI!B$4 * 'PASTA CORTA - TCM100'!J12) + (VALORI!B$4 * 'PASTA CORTA - TCM100'!K12) + (VALORI!B$5 * 'PASTA CORTA - TCM100'!L12) + (VALORI!B$6 * 'PASTA CORTA - TCM100'!M12) + (VALORI!B$7 * 'PASTA CORTA - TCM100'!N12)</f>
        <v>28780</v>
      </c>
      <c r="P12" s="33">
        <f t="shared" si="2"/>
        <v>35975</v>
      </c>
      <c r="Q12" s="25">
        <v>92792.7</v>
      </c>
      <c r="R12" s="26">
        <f t="shared" si="3"/>
        <v>111351.23999999999</v>
      </c>
      <c r="S12" s="27" t="s">
        <v>95</v>
      </c>
      <c r="T12" s="28">
        <f t="shared" si="0"/>
        <v>121572.7</v>
      </c>
      <c r="U12" s="28">
        <f t="shared" si="1"/>
        <v>147326.24</v>
      </c>
      <c r="V12" s="35" t="s">
        <v>55</v>
      </c>
      <c r="W12" s="28">
        <f t="shared" si="4"/>
        <v>5567.5619999999999</v>
      </c>
      <c r="X12" s="28">
        <f t="shared" si="5"/>
        <v>18558.54</v>
      </c>
      <c r="Y12" s="28">
        <v>11000</v>
      </c>
      <c r="Z12" s="28">
        <f t="shared" si="6"/>
        <v>18150</v>
      </c>
      <c r="AA12" s="28">
        <v>3800</v>
      </c>
      <c r="AB12" s="28">
        <v>5500</v>
      </c>
      <c r="AC12" s="28">
        <v>1300</v>
      </c>
      <c r="AD12" s="28">
        <v>8000</v>
      </c>
      <c r="AE12" s="28">
        <v>2200</v>
      </c>
      <c r="AF12" s="28">
        <v>2800</v>
      </c>
      <c r="AG12" s="28">
        <v>1100</v>
      </c>
      <c r="AH12" s="28">
        <v>4000</v>
      </c>
      <c r="AI12" s="28">
        <v>4200</v>
      </c>
      <c r="AJ12" s="28">
        <v>2200</v>
      </c>
      <c r="AK12" s="28">
        <v>9000</v>
      </c>
      <c r="AL12" s="28">
        <f t="shared" si="7"/>
        <v>1350</v>
      </c>
      <c r="AM12" s="28">
        <v>720</v>
      </c>
      <c r="AN12" s="28">
        <v>2200</v>
      </c>
      <c r="AO12" s="28">
        <v>1900</v>
      </c>
      <c r="AP12" s="28" t="s">
        <v>63</v>
      </c>
      <c r="AQ12" s="28">
        <v>8000</v>
      </c>
      <c r="AR12" s="49"/>
      <c r="AS12" s="28">
        <v>800</v>
      </c>
      <c r="AT12" s="28">
        <v>4800</v>
      </c>
      <c r="AU12" s="28">
        <v>1100</v>
      </c>
      <c r="AV12" s="28">
        <v>2880</v>
      </c>
      <c r="AW12" s="49"/>
      <c r="AX12" s="28">
        <v>36650</v>
      </c>
      <c r="AY12" s="28">
        <v>29290</v>
      </c>
    </row>
    <row r="13" spans="1:51" ht="20.25" customHeight="1" x14ac:dyDescent="0.35">
      <c r="A13" s="11">
        <v>5000</v>
      </c>
      <c r="B13" s="10" t="s">
        <v>96</v>
      </c>
      <c r="C13" s="10" t="s">
        <v>57</v>
      </c>
      <c r="D13" s="10" t="s">
        <v>130</v>
      </c>
      <c r="E13" s="10" t="s">
        <v>92</v>
      </c>
      <c r="F13" s="10" t="s">
        <v>131</v>
      </c>
      <c r="G13" s="10" t="s">
        <v>132</v>
      </c>
      <c r="H13" s="10"/>
      <c r="I13" s="3">
        <v>110</v>
      </c>
      <c r="J13" s="3">
        <v>50</v>
      </c>
      <c r="K13" s="3">
        <v>50</v>
      </c>
      <c r="L13" s="3">
        <v>550</v>
      </c>
      <c r="M13" s="3">
        <v>65</v>
      </c>
      <c r="N13" s="3">
        <v>100</v>
      </c>
      <c r="O13" s="34">
        <f>(VALORI!B$3 * 'PASTA CORTA - TCM100'!I13) + (VALORI!B$4 * 'PASTA CORTA - TCM100'!J13) + (VALORI!B$4 * 'PASTA CORTA - TCM100'!K13) + (VALORI!B$5 * 'PASTA CORTA - TCM100'!L13) + (VALORI!B$6 * 'PASTA CORTA - TCM100'!M13) + (VALORI!B$7 * 'PASTA CORTA - TCM100'!N13)</f>
        <v>29505</v>
      </c>
      <c r="P13" s="33">
        <f t="shared" si="2"/>
        <v>36881.25</v>
      </c>
      <c r="Q13" s="25">
        <v>100216.11599999999</v>
      </c>
      <c r="R13" s="26">
        <f t="shared" si="3"/>
        <v>120259.33919999999</v>
      </c>
      <c r="S13" s="27" t="s">
        <v>99</v>
      </c>
      <c r="T13" s="28">
        <f t="shared" si="0"/>
        <v>129721.11599999999</v>
      </c>
      <c r="U13" s="28">
        <f t="shared" si="1"/>
        <v>157140.58919999999</v>
      </c>
      <c r="V13" s="35" t="s">
        <v>55</v>
      </c>
      <c r="W13" s="28">
        <f t="shared" si="4"/>
        <v>6012.9669599999997</v>
      </c>
      <c r="X13" s="28">
        <f t="shared" si="5"/>
        <v>20043.2232</v>
      </c>
      <c r="Y13" s="28">
        <v>12000</v>
      </c>
      <c r="Z13" s="28">
        <f t="shared" si="6"/>
        <v>19800</v>
      </c>
      <c r="AA13" s="28">
        <v>3800</v>
      </c>
      <c r="AB13" s="28">
        <v>5500</v>
      </c>
      <c r="AC13" s="28">
        <v>1300</v>
      </c>
      <c r="AD13" s="28">
        <v>8000</v>
      </c>
      <c r="AE13" s="28">
        <v>2200</v>
      </c>
      <c r="AF13" s="28">
        <v>2800</v>
      </c>
      <c r="AG13" s="28">
        <v>1100</v>
      </c>
      <c r="AH13" s="28">
        <v>8000</v>
      </c>
      <c r="AI13" s="28">
        <v>4200</v>
      </c>
      <c r="AJ13" s="28">
        <v>2200</v>
      </c>
      <c r="AK13" s="28">
        <v>9000</v>
      </c>
      <c r="AL13" s="28">
        <f t="shared" si="7"/>
        <v>1350</v>
      </c>
      <c r="AM13" s="28">
        <v>720</v>
      </c>
      <c r="AN13" s="28">
        <v>2200</v>
      </c>
      <c r="AO13" s="28">
        <v>3400</v>
      </c>
      <c r="AP13" s="28" t="s">
        <v>63</v>
      </c>
      <c r="AQ13" s="28">
        <v>8000</v>
      </c>
      <c r="AR13" s="49"/>
      <c r="AS13" s="28">
        <v>800</v>
      </c>
      <c r="AT13" s="28">
        <v>4800</v>
      </c>
      <c r="AU13" s="28">
        <v>1100</v>
      </c>
      <c r="AV13" s="28">
        <v>2880</v>
      </c>
      <c r="AW13" s="49"/>
      <c r="AX13" s="28">
        <v>36650</v>
      </c>
      <c r="AY13" s="28">
        <v>29290</v>
      </c>
    </row>
    <row r="14" spans="1:51" ht="20.25" customHeight="1" x14ac:dyDescent="0.35">
      <c r="A14" s="11">
        <v>5500</v>
      </c>
      <c r="B14" s="19" t="s">
        <v>54</v>
      </c>
      <c r="C14" s="19" t="s">
        <v>54</v>
      </c>
      <c r="D14" s="19" t="s">
        <v>54</v>
      </c>
      <c r="E14" s="19" t="s">
        <v>54</v>
      </c>
      <c r="F14" s="19" t="s">
        <v>54</v>
      </c>
      <c r="G14" s="19" t="s">
        <v>54</v>
      </c>
      <c r="H14" s="19"/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4">
        <f>(VALORI!B$3 * 'PASTA CORTA - TCM100'!I14) + (VALORI!B$4 * 'PASTA CORTA - TCM100'!J14) + (VALORI!B$4 * 'PASTA CORTA - TCM100'!K14) + (VALORI!B$5 * 'PASTA CORTA - TCM100'!L14) + (VALORI!B$6 * 'PASTA CORTA - TCM100'!M14) + (VALORI!B$7 * 'PASTA CORTA - TCM100'!N14)</f>
        <v>0</v>
      </c>
      <c r="P14" s="33">
        <f t="shared" si="2"/>
        <v>0</v>
      </c>
      <c r="Q14" s="25">
        <v>0</v>
      </c>
      <c r="R14" s="26">
        <f t="shared" si="3"/>
        <v>0</v>
      </c>
      <c r="S14" s="27"/>
      <c r="T14" s="28">
        <f t="shared" si="0"/>
        <v>0</v>
      </c>
      <c r="U14" s="28">
        <f t="shared" si="1"/>
        <v>0</v>
      </c>
      <c r="V14" s="35" t="s">
        <v>55</v>
      </c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49"/>
      <c r="AS14" s="28"/>
      <c r="AT14" s="28"/>
      <c r="AU14" s="28"/>
      <c r="AV14" s="28"/>
      <c r="AW14" s="49"/>
      <c r="AX14" s="28"/>
      <c r="AY14" s="28"/>
    </row>
    <row r="15" spans="1:51" ht="20.25" customHeight="1" x14ac:dyDescent="0.35">
      <c r="A15" s="11">
        <v>6000</v>
      </c>
      <c r="B15" s="10" t="s">
        <v>100</v>
      </c>
      <c r="C15" s="10" t="s">
        <v>57</v>
      </c>
      <c r="D15" s="10" t="s">
        <v>130</v>
      </c>
      <c r="E15" s="10" t="s">
        <v>101</v>
      </c>
      <c r="F15" s="10" t="s">
        <v>133</v>
      </c>
      <c r="G15" s="10" t="s">
        <v>134</v>
      </c>
      <c r="H15" s="10"/>
      <c r="I15" s="3">
        <v>110</v>
      </c>
      <c r="J15" s="3">
        <v>50</v>
      </c>
      <c r="K15" s="3">
        <v>50</v>
      </c>
      <c r="L15" s="3">
        <v>620</v>
      </c>
      <c r="M15" s="3">
        <v>70</v>
      </c>
      <c r="N15" s="3">
        <v>100</v>
      </c>
      <c r="O15" s="34">
        <f>(VALORI!B$3 * 'PASTA CORTA - TCM100'!I15) + (VALORI!B$4 * 'PASTA CORTA - TCM100'!J15) + (VALORI!B$4 * 'PASTA CORTA - TCM100'!K15) + (VALORI!B$5 * 'PASTA CORTA - TCM100'!L15) + (VALORI!B$6 * 'PASTA CORTA - TCM100'!M15) + (VALORI!B$7 * 'PASTA CORTA - TCM100'!N15)</f>
        <v>31680</v>
      </c>
      <c r="P15" s="33">
        <f t="shared" si="2"/>
        <v>39600</v>
      </c>
      <c r="Q15" s="25">
        <v>105165.06</v>
      </c>
      <c r="R15" s="26">
        <f t="shared" si="3"/>
        <v>126198.072</v>
      </c>
      <c r="S15" s="27" t="s">
        <v>99</v>
      </c>
      <c r="T15" s="28">
        <f t="shared" si="0"/>
        <v>136845.06</v>
      </c>
      <c r="U15" s="28">
        <f t="shared" si="1"/>
        <v>165798.07199999999</v>
      </c>
      <c r="V15" s="35" t="s">
        <v>55</v>
      </c>
      <c r="W15" s="28">
        <f t="shared" si="4"/>
        <v>6309.9035999999996</v>
      </c>
      <c r="X15" s="28">
        <f t="shared" si="5"/>
        <v>21033.012000000002</v>
      </c>
      <c r="Y15" s="28">
        <v>12000</v>
      </c>
      <c r="Z15" s="28">
        <f t="shared" si="6"/>
        <v>19800</v>
      </c>
      <c r="AA15" s="28">
        <v>3800</v>
      </c>
      <c r="AB15" s="28">
        <v>5500</v>
      </c>
      <c r="AC15" s="28">
        <v>1300</v>
      </c>
      <c r="AD15" s="28">
        <v>8000</v>
      </c>
      <c r="AE15" s="28">
        <v>2200</v>
      </c>
      <c r="AF15" s="28">
        <v>2800</v>
      </c>
      <c r="AG15" s="28">
        <v>1100</v>
      </c>
      <c r="AH15" s="28">
        <v>8000</v>
      </c>
      <c r="AI15" s="28">
        <v>4200</v>
      </c>
      <c r="AJ15" s="28">
        <v>2200</v>
      </c>
      <c r="AK15" s="28">
        <v>11000</v>
      </c>
      <c r="AL15" s="28">
        <f t="shared" si="7"/>
        <v>1650</v>
      </c>
      <c r="AM15" s="28">
        <v>720</v>
      </c>
      <c r="AN15" s="28">
        <v>2200</v>
      </c>
      <c r="AO15" s="28">
        <v>3400</v>
      </c>
      <c r="AP15" s="28" t="s">
        <v>63</v>
      </c>
      <c r="AQ15" s="28">
        <v>8000</v>
      </c>
      <c r="AR15" s="49"/>
      <c r="AS15" s="28">
        <v>800</v>
      </c>
      <c r="AT15" s="28">
        <v>4800</v>
      </c>
      <c r="AU15" s="28">
        <v>1100</v>
      </c>
      <c r="AV15" s="28">
        <v>2880</v>
      </c>
      <c r="AW15" s="49"/>
      <c r="AX15" s="28">
        <v>36650</v>
      </c>
      <c r="AY15" s="28">
        <v>29290</v>
      </c>
    </row>
    <row r="16" spans="1:51" ht="20.25" customHeight="1" x14ac:dyDescent="0.35">
      <c r="A16" s="11">
        <v>8000</v>
      </c>
      <c r="B16" s="19" t="s">
        <v>54</v>
      </c>
      <c r="C16" s="19" t="s">
        <v>54</v>
      </c>
      <c r="D16" s="19" t="s">
        <v>54</v>
      </c>
      <c r="E16" s="19"/>
      <c r="F16" s="19" t="s">
        <v>54</v>
      </c>
      <c r="G16" s="19" t="s">
        <v>54</v>
      </c>
      <c r="H16" s="19"/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4">
        <f>(VALORI!B$3 * 'PASTA CORTA - TCM100'!I16) + (VALORI!B$4 * 'PASTA CORTA - TCM100'!J16) + (VALORI!B$4 * 'PASTA CORTA - TCM100'!K16) + (VALORI!B$5 * 'PASTA CORTA - TCM100'!L16) + (VALORI!B$6 * 'PASTA CORTA - TCM100'!M16) + (VALORI!B$7 * 'PASTA CORTA - TCM100'!N16)</f>
        <v>0</v>
      </c>
      <c r="P16" s="33">
        <f t="shared" si="2"/>
        <v>0</v>
      </c>
      <c r="Q16" s="25">
        <v>0</v>
      </c>
      <c r="R16" s="26">
        <f t="shared" si="3"/>
        <v>0</v>
      </c>
      <c r="S16" s="27"/>
      <c r="T16" s="28">
        <f t="shared" si="0"/>
        <v>0</v>
      </c>
      <c r="U16" s="28">
        <f t="shared" si="1"/>
        <v>0</v>
      </c>
      <c r="V16" s="35" t="s">
        <v>55</v>
      </c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49"/>
      <c r="AS16" s="28"/>
      <c r="AT16" s="28"/>
      <c r="AU16" s="28"/>
      <c r="AV16" s="28"/>
      <c r="AW16" s="49"/>
      <c r="AX16" s="28"/>
      <c r="AY16" s="28"/>
    </row>
    <row r="17" spans="1:51" ht="20.25" customHeight="1" x14ac:dyDescent="0.35">
      <c r="A17" s="11">
        <v>9000</v>
      </c>
      <c r="B17" s="19" t="s">
        <v>54</v>
      </c>
      <c r="C17" s="19" t="s">
        <v>54</v>
      </c>
      <c r="D17" s="19" t="s">
        <v>54</v>
      </c>
      <c r="E17" s="19"/>
      <c r="F17" s="19" t="s">
        <v>54</v>
      </c>
      <c r="G17" s="19" t="s">
        <v>54</v>
      </c>
      <c r="H17" s="19"/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4">
        <f>(VALORI!B$3 * 'PASTA CORTA - TCM100'!I17) + (VALORI!B$4 * 'PASTA CORTA - TCM100'!J17) + (VALORI!B$4 * 'PASTA CORTA - TCM100'!K17) + (VALORI!B$5 * 'PASTA CORTA - TCM100'!L17) + (VALORI!B$6 * 'PASTA CORTA - TCM100'!M17) + (VALORI!B$7 * 'PASTA CORTA - TCM100'!N17)</f>
        <v>0</v>
      </c>
      <c r="P17" s="33">
        <f t="shared" si="2"/>
        <v>0</v>
      </c>
      <c r="Q17" s="25">
        <v>0</v>
      </c>
      <c r="R17" s="26">
        <f t="shared" si="3"/>
        <v>0</v>
      </c>
      <c r="S17" s="27"/>
      <c r="T17" s="28">
        <f t="shared" si="0"/>
        <v>0</v>
      </c>
      <c r="U17" s="28">
        <f t="shared" si="1"/>
        <v>0</v>
      </c>
      <c r="V17" s="35" t="s">
        <v>55</v>
      </c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49"/>
      <c r="AS17" s="28">
        <v>1600</v>
      </c>
      <c r="AT17" s="28">
        <v>4800</v>
      </c>
      <c r="AU17" s="28">
        <v>1100</v>
      </c>
      <c r="AV17" s="28">
        <v>2880</v>
      </c>
      <c r="AW17" s="49"/>
      <c r="AX17" s="28">
        <v>36650</v>
      </c>
      <c r="AY17" s="28">
        <v>29290</v>
      </c>
    </row>
    <row r="18" spans="1:51" ht="20.25" customHeight="1" x14ac:dyDescent="0.35">
      <c r="A18" s="11">
        <v>12000</v>
      </c>
      <c r="B18" s="19" t="s">
        <v>54</v>
      </c>
      <c r="C18" s="19" t="s">
        <v>54</v>
      </c>
      <c r="D18" s="19" t="s">
        <v>54</v>
      </c>
      <c r="E18" s="19" t="s">
        <v>54</v>
      </c>
      <c r="F18" s="19" t="s">
        <v>54</v>
      </c>
      <c r="G18" s="19" t="s">
        <v>54</v>
      </c>
      <c r="H18" s="19"/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4">
        <f>(VALORI!B$3 * 'PASTA CORTA - TCM100'!I18) + (VALORI!B$4 * 'PASTA CORTA - TCM100'!J18) + (VALORI!B$4 * 'PASTA CORTA - TCM100'!K18) + (VALORI!B$5 * 'PASTA CORTA - TCM100'!L18) + (VALORI!B$6 * 'PASTA CORTA - TCM100'!M18) + (VALORI!B$7 * 'PASTA CORTA - TCM100'!N18)</f>
        <v>0</v>
      </c>
      <c r="P18" s="33">
        <f t="shared" si="2"/>
        <v>0</v>
      </c>
      <c r="Q18" s="25">
        <v>0</v>
      </c>
      <c r="R18" s="26">
        <f t="shared" si="3"/>
        <v>0</v>
      </c>
      <c r="S18" s="27"/>
      <c r="T18" s="28">
        <f t="shared" si="0"/>
        <v>0</v>
      </c>
      <c r="U18" s="28">
        <f t="shared" si="1"/>
        <v>0</v>
      </c>
      <c r="V18" s="35" t="s">
        <v>55</v>
      </c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49"/>
      <c r="AS18" s="28">
        <v>1600</v>
      </c>
      <c r="AT18" s="28">
        <v>4800</v>
      </c>
      <c r="AU18" s="28">
        <v>1100</v>
      </c>
      <c r="AV18" s="28">
        <v>2880</v>
      </c>
      <c r="AW18" s="49"/>
      <c r="AX18" s="28">
        <v>36650</v>
      </c>
      <c r="AY18" s="28">
        <v>29290</v>
      </c>
    </row>
    <row r="19" spans="1:51" ht="15.75" x14ac:dyDescent="0.25">
      <c r="AN19"/>
      <c r="AO19"/>
      <c r="AR19" s="49"/>
      <c r="AW19" s="49"/>
    </row>
    <row r="20" spans="1:51" ht="15.75" x14ac:dyDescent="0.25">
      <c r="AN20"/>
      <c r="AO20"/>
      <c r="AR20" s="49"/>
      <c r="AW20" s="49"/>
    </row>
    <row r="21" spans="1:51" ht="15.75" x14ac:dyDescent="0.25">
      <c r="AN21"/>
      <c r="AO21"/>
      <c r="AR21" s="49"/>
      <c r="AW21" s="49"/>
    </row>
    <row r="22" spans="1:51" ht="15.75" x14ac:dyDescent="0.25">
      <c r="AN22"/>
      <c r="AO22"/>
      <c r="AR22" s="49"/>
      <c r="AW22" s="49"/>
    </row>
    <row r="23" spans="1:51" ht="15.75" x14ac:dyDescent="0.25">
      <c r="AN23"/>
      <c r="AO23"/>
      <c r="AR23" s="49"/>
      <c r="AW23" s="49"/>
    </row>
    <row r="24" spans="1:51" ht="15.75" x14ac:dyDescent="0.25">
      <c r="AN24"/>
      <c r="AO24"/>
      <c r="AR24" s="49"/>
      <c r="AW24" s="49"/>
    </row>
    <row r="25" spans="1:51" ht="15.75" x14ac:dyDescent="0.25">
      <c r="AN25"/>
      <c r="AO25"/>
      <c r="AR25" s="49"/>
      <c r="AW25" s="49"/>
    </row>
    <row r="26" spans="1:51" ht="15.75" x14ac:dyDescent="0.25">
      <c r="AN26"/>
      <c r="AO26"/>
      <c r="AR26" s="49"/>
      <c r="AW26" s="49"/>
    </row>
    <row r="27" spans="1:51" ht="15.75" x14ac:dyDescent="0.25">
      <c r="AN27"/>
      <c r="AO27"/>
      <c r="AR27" s="49"/>
      <c r="AW27" s="49"/>
    </row>
    <row r="28" spans="1:51" ht="15.75" x14ac:dyDescent="0.25">
      <c r="AN28"/>
      <c r="AO28"/>
      <c r="AR28" s="49"/>
      <c r="AW28" s="49"/>
    </row>
    <row r="29" spans="1:51" ht="15.75" x14ac:dyDescent="0.25">
      <c r="AN29"/>
      <c r="AO29"/>
      <c r="AR29" s="49"/>
      <c r="AW29" s="49"/>
    </row>
    <row r="30" spans="1:51" ht="15.75" customHeight="1" x14ac:dyDescent="0.25">
      <c r="O30" s="218" t="s">
        <v>115</v>
      </c>
      <c r="P30" s="219"/>
      <c r="Q30" s="28" t="s">
        <v>116</v>
      </c>
      <c r="R30" s="28" t="s">
        <v>63</v>
      </c>
      <c r="S30" s="5"/>
      <c r="T30" s="28"/>
      <c r="U30" s="28"/>
      <c r="V30" s="28"/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4</v>
      </c>
      <c r="AD30" s="53">
        <v>8</v>
      </c>
      <c r="AE30" s="53">
        <v>8</v>
      </c>
      <c r="AF30" s="53">
        <v>8</v>
      </c>
      <c r="AG30" s="53">
        <v>8</v>
      </c>
      <c r="AH30" s="53">
        <v>0</v>
      </c>
      <c r="AI30" s="53">
        <v>8</v>
      </c>
      <c r="AJ30" s="53">
        <v>4</v>
      </c>
      <c r="AK30" s="53">
        <v>30</v>
      </c>
      <c r="AL30" s="53">
        <v>2</v>
      </c>
      <c r="AM30" s="53">
        <v>2</v>
      </c>
      <c r="AN30" s="53">
        <v>2</v>
      </c>
      <c r="AO30" s="53">
        <v>1</v>
      </c>
      <c r="AP30" s="53"/>
      <c r="AQ30" s="53">
        <v>0</v>
      </c>
      <c r="AR30" s="49"/>
      <c r="AS30" s="53">
        <v>8</v>
      </c>
      <c r="AT30" s="53">
        <v>16</v>
      </c>
      <c r="AU30" s="53">
        <v>6</v>
      </c>
      <c r="AV30" s="53">
        <v>6</v>
      </c>
      <c r="AW30" s="49"/>
    </row>
    <row r="31" spans="1:51" ht="15.75" customHeight="1" x14ac:dyDescent="0.25">
      <c r="O31" s="220"/>
      <c r="P31" s="221"/>
      <c r="Q31" s="28" t="s">
        <v>117</v>
      </c>
      <c r="R31" s="28" t="s">
        <v>63</v>
      </c>
      <c r="S31" s="5"/>
      <c r="T31" s="28"/>
      <c r="U31" s="28"/>
      <c r="V31" s="28"/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8</v>
      </c>
      <c r="AD31" s="53">
        <v>8</v>
      </c>
      <c r="AE31" s="53">
        <v>8</v>
      </c>
      <c r="AF31" s="53">
        <v>8</v>
      </c>
      <c r="AG31" s="53">
        <v>8</v>
      </c>
      <c r="AH31" s="53">
        <v>0</v>
      </c>
      <c r="AI31" s="53">
        <v>8</v>
      </c>
      <c r="AJ31" s="53">
        <v>4</v>
      </c>
      <c r="AK31" s="53">
        <v>30</v>
      </c>
      <c r="AL31" s="53">
        <v>2</v>
      </c>
      <c r="AM31" s="53">
        <v>2</v>
      </c>
      <c r="AN31" s="53">
        <v>2</v>
      </c>
      <c r="AO31" s="53">
        <v>1</v>
      </c>
      <c r="AP31" s="53"/>
      <c r="AQ31" s="53">
        <v>0</v>
      </c>
      <c r="AR31" s="49"/>
      <c r="AS31" s="53">
        <v>8</v>
      </c>
      <c r="AT31" s="53">
        <v>16</v>
      </c>
      <c r="AU31" s="53">
        <v>6</v>
      </c>
      <c r="AV31" s="53">
        <v>6</v>
      </c>
      <c r="AW31" s="49"/>
    </row>
    <row r="32" spans="1:51" ht="15.75" customHeight="1" x14ac:dyDescent="0.25">
      <c r="O32" s="220"/>
      <c r="P32" s="221"/>
      <c r="Q32" s="28" t="s">
        <v>118</v>
      </c>
      <c r="R32" s="53">
        <v>30</v>
      </c>
      <c r="S32" s="5"/>
      <c r="T32" s="28"/>
      <c r="U32" s="28"/>
      <c r="V32" s="28"/>
      <c r="W32" s="53">
        <v>10</v>
      </c>
      <c r="X32" s="53">
        <v>30</v>
      </c>
      <c r="Y32" s="53">
        <v>8</v>
      </c>
      <c r="Z32" s="53">
        <v>8</v>
      </c>
      <c r="AA32" s="53">
        <v>8</v>
      </c>
      <c r="AB32" s="53">
        <v>2</v>
      </c>
      <c r="AC32" s="53">
        <v>6</v>
      </c>
      <c r="AD32" s="53">
        <v>8</v>
      </c>
      <c r="AE32" s="53">
        <v>10</v>
      </c>
      <c r="AF32" s="53">
        <v>10</v>
      </c>
      <c r="AG32" s="53">
        <v>10</v>
      </c>
      <c r="AH32" s="53">
        <v>4</v>
      </c>
      <c r="AI32" s="53">
        <v>8</v>
      </c>
      <c r="AJ32" s="53">
        <v>5</v>
      </c>
      <c r="AK32" s="53">
        <v>20</v>
      </c>
      <c r="AL32" s="53">
        <v>4</v>
      </c>
      <c r="AM32" s="53">
        <v>4</v>
      </c>
      <c r="AN32" s="53">
        <v>1</v>
      </c>
      <c r="AO32" s="53">
        <v>4</v>
      </c>
      <c r="AP32" s="53"/>
      <c r="AQ32" s="53">
        <v>15</v>
      </c>
      <c r="AR32" s="49"/>
      <c r="AS32" s="53">
        <v>8</v>
      </c>
      <c r="AT32" s="53">
        <v>16</v>
      </c>
      <c r="AU32" s="53">
        <v>6</v>
      </c>
      <c r="AV32" s="53">
        <v>6</v>
      </c>
      <c r="AW32" s="49"/>
    </row>
    <row r="33" spans="15:49" ht="15.75" customHeight="1" x14ac:dyDescent="0.25">
      <c r="O33" s="222"/>
      <c r="P33" s="223"/>
      <c r="Q33" s="28" t="s">
        <v>119</v>
      </c>
      <c r="R33" s="53">
        <v>90</v>
      </c>
      <c r="S33" s="5"/>
      <c r="T33" s="28"/>
      <c r="U33" s="28"/>
      <c r="V33" s="28"/>
      <c r="W33" s="53">
        <v>30</v>
      </c>
      <c r="X33" s="53">
        <v>90</v>
      </c>
      <c r="Y33" s="53">
        <v>24</v>
      </c>
      <c r="Z33" s="53">
        <v>24</v>
      </c>
      <c r="AA33" s="53">
        <v>20</v>
      </c>
      <c r="AB33" s="53">
        <v>1</v>
      </c>
      <c r="AC33" s="53">
        <v>4</v>
      </c>
      <c r="AD33" s="53">
        <v>50</v>
      </c>
      <c r="AE33" s="53">
        <v>10</v>
      </c>
      <c r="AF33" s="53">
        <v>5</v>
      </c>
      <c r="AG33" s="53">
        <v>5</v>
      </c>
      <c r="AH33" s="53">
        <v>0</v>
      </c>
      <c r="AI33" s="53">
        <v>24</v>
      </c>
      <c r="AJ33" s="53">
        <v>5</v>
      </c>
      <c r="AK33" s="53">
        <v>30</v>
      </c>
      <c r="AL33" s="53">
        <v>8</v>
      </c>
      <c r="AM33" s="53">
        <v>4</v>
      </c>
      <c r="AN33" s="53">
        <v>8</v>
      </c>
      <c r="AO33" s="53">
        <v>12</v>
      </c>
      <c r="AP33" s="53"/>
      <c r="AQ33" s="53">
        <v>3</v>
      </c>
      <c r="AR33" s="49"/>
      <c r="AS33" s="53">
        <v>20</v>
      </c>
      <c r="AT33" s="53">
        <v>50</v>
      </c>
      <c r="AU33" s="53">
        <v>20</v>
      </c>
      <c r="AV33" s="53">
        <v>20</v>
      </c>
      <c r="AW33" s="49"/>
    </row>
    <row r="34" spans="15:49" x14ac:dyDescent="0.25">
      <c r="AC34" s="52"/>
    </row>
    <row r="37" spans="15:49" ht="81.400000000000006" customHeight="1" x14ac:dyDescent="0.25">
      <c r="O37" s="85">
        <v>44731</v>
      </c>
      <c r="P37" t="s">
        <v>303</v>
      </c>
      <c r="Q37" s="85" t="s">
        <v>344</v>
      </c>
      <c r="R37" s="85" t="s">
        <v>345</v>
      </c>
      <c r="W37" s="94" t="s">
        <v>339</v>
      </c>
      <c r="X37" s="94" t="s">
        <v>339</v>
      </c>
      <c r="Y37" s="94" t="s">
        <v>339</v>
      </c>
      <c r="Z37" s="94" t="s">
        <v>339</v>
      </c>
      <c r="AA37" s="94" t="s">
        <v>339</v>
      </c>
      <c r="AB37" s="94" t="s">
        <v>339</v>
      </c>
      <c r="AC37" s="94" t="s">
        <v>339</v>
      </c>
      <c r="AD37" s="94" t="s">
        <v>339</v>
      </c>
      <c r="AE37" s="94" t="s">
        <v>339</v>
      </c>
      <c r="AF37" s="94" t="s">
        <v>339</v>
      </c>
      <c r="AG37" s="94" t="s">
        <v>339</v>
      </c>
      <c r="AH37" s="94" t="s">
        <v>339</v>
      </c>
      <c r="AI37" s="94" t="s">
        <v>339</v>
      </c>
      <c r="AJ37" s="94" t="s">
        <v>339</v>
      </c>
      <c r="AK37" s="94" t="s">
        <v>339</v>
      </c>
      <c r="AL37" s="94" t="s">
        <v>339</v>
      </c>
      <c r="AM37" s="94" t="s">
        <v>339</v>
      </c>
      <c r="AN37" s="94" t="s">
        <v>339</v>
      </c>
      <c r="AO37" s="94" t="s">
        <v>339</v>
      </c>
      <c r="AP37" s="94" t="s">
        <v>339</v>
      </c>
      <c r="AQ37" s="94" t="s">
        <v>339</v>
      </c>
    </row>
    <row r="38" spans="15:49" ht="15.75" x14ac:dyDescent="0.25">
      <c r="O38" s="25">
        <v>0</v>
      </c>
      <c r="P38" s="25">
        <f>(O38*10%)+O38</f>
        <v>0</v>
      </c>
      <c r="Q38" s="25">
        <f>(P38*4%)+P38</f>
        <v>0</v>
      </c>
      <c r="R38" s="25">
        <f>(Q38*3%)+Q38</f>
        <v>0</v>
      </c>
      <c r="U38" s="52"/>
      <c r="W38" s="28">
        <f>IF(W3&gt;0, W3-(W$30*VALORI!$B$4)-(W$31*VALORI!$B$4)-(W$32*VALORI!$B$3)-(W$33*VALORI!$B$5),0)</f>
        <v>0</v>
      </c>
      <c r="X38" s="28">
        <f>IF(X3&gt;0, X3-(X$30*VALORI!$B$4)-(X$31*VALORI!$B$4)-(X$32*VALORI!$B$3)-(X$33*VALORI!$B$5),0)</f>
        <v>0</v>
      </c>
      <c r="Y38" s="28">
        <f>IF(Y3&gt;0, Y3-(Y$30*VALORI!$B$4)-(Y$31*VALORI!$B$4)-(Y$32*VALORI!$B$3)-(Y$33*VALORI!$B$5),0)</f>
        <v>0</v>
      </c>
      <c r="Z38" s="28">
        <f>IF(Z3&gt;0, Z3-(Z$30*VALORI!$B$4)-(Z$31*VALORI!$B$4)-(Z$32*VALORI!$B$3)-(Z$33*VALORI!$B$5),0)</f>
        <v>0</v>
      </c>
      <c r="AA38" s="28">
        <f>IF(AA3&gt;0, AA3-(AA$30*VALORI!$B$4)-(AA$31*VALORI!$B$4)-(AA$32*VALORI!$B$3)-(AA$33*VALORI!$B$5),0)</f>
        <v>0</v>
      </c>
      <c r="AB38" s="28">
        <f>IF(AB3&gt;0, AB3-(AB$30*VALORI!$B$4)-(AB$31*VALORI!$B$4)-(AB$32*VALORI!$B$3)-(AB$33*VALORI!$B$5),0)</f>
        <v>0</v>
      </c>
      <c r="AC38" s="28">
        <f>IF(AC3&gt;0, AC3-(AC$30*VALORI!$B$4)-(AC$31*VALORI!$B$4)-(AC$32*VALORI!$B$3)-(AC$33*VALORI!$B$5),0)</f>
        <v>0</v>
      </c>
      <c r="AD38" s="28">
        <f>IF(AD3&gt;0, AD3-(AD$30*VALORI!$B$4)-(AD$31*VALORI!$B$4)-(AD$32*VALORI!$B$3)-(AD$33*VALORI!$B$5),0)</f>
        <v>0</v>
      </c>
      <c r="AE38" s="28">
        <f>IF(AE3&gt;0, AE3-(AE$30*VALORI!$B$4)-(AE$31*VALORI!$B$4)-(AE$32*VALORI!$B$3)-(AE$33*VALORI!$B$5),0)</f>
        <v>0</v>
      </c>
      <c r="AF38" s="28">
        <f>IF(AF3&gt;0, AF3-(AF$30*VALORI!$B$4)-(AF$31*VALORI!$B$4)-(AF$32*VALORI!$B$3)-(AF$33*VALORI!$B$5),0)</f>
        <v>0</v>
      </c>
      <c r="AG38" s="28">
        <f>IF(AG3&gt;0, AG3-(AG$30*VALORI!$B$4)-(AG$31*VALORI!$B$4)-(AG$32*VALORI!$B$3)-(AG$33*VALORI!$B$5),0)</f>
        <v>0</v>
      </c>
      <c r="AH38" s="28">
        <f>IF(AH3&gt;0, AH3-(AH$30*VALORI!$B$4)-(AH$31*VALORI!$B$4)-(AH$32*VALORI!$B$3)-(AH$33*VALORI!$B$5),0)</f>
        <v>0</v>
      </c>
      <c r="AI38" s="28">
        <f>IF(AI3&gt;0, AI3-(AI$30*VALORI!$B$4)-(AI$31*VALORI!$B$4)-(AI$32*VALORI!$B$3)-(AI$33*VALORI!$B$5),0)</f>
        <v>0</v>
      </c>
      <c r="AJ38" s="28">
        <f>IF(AJ3&gt;0, AJ3-(AJ$30*VALORI!$B$4)-(AJ$31*VALORI!$B$4)-(AJ$32*VALORI!$B$3)-(AJ$33*VALORI!$B$5),0)</f>
        <v>0</v>
      </c>
      <c r="AK38" s="28">
        <f>IF(AK3&gt;0, AK3-(AK$30*VALORI!$B$4)-(AK$31*VALORI!$B$4)-(AK$32*VALORI!$B$3)-(AK$33*VALORI!$B$5),0)</f>
        <v>0</v>
      </c>
      <c r="AL38" s="28">
        <f>IF(AL3&gt;0, AL3-(AL$30*VALORI!$B$4)-(AL$31*VALORI!$B$4)-(AL$32*VALORI!$B$3)-(AL$33*VALORI!$B$5),0)</f>
        <v>0</v>
      </c>
      <c r="AM38" s="28">
        <f>IF(AM3&gt;0, AM3-(AM$30*VALORI!$B$4)-(AM$31*VALORI!$B$4)-(AM$32*VALORI!$B$3)-(AM$33*VALORI!$B$5),0)</f>
        <v>0</v>
      </c>
      <c r="AN38" s="28">
        <f>IF(AN3&gt;0, AN3-(AN$30*VALORI!$B$4)-(AN$31*VALORI!$B$4)-(AN$32*VALORI!$B$3)-(AN$33*VALORI!$B$5),0)</f>
        <v>0</v>
      </c>
      <c r="AO38" s="28">
        <f>IF(AO3&gt;0, AO3-(AO$30*VALORI!$B$4)-(AO$31*VALORI!$B$4)-(AO$32*VALORI!$B$3)-(AO$33*VALORI!$B$5),0)</f>
        <v>0</v>
      </c>
      <c r="AP38" s="28">
        <f>IF(AP3&gt;0, AP3-(AP$30*VALORI!$B$4)-(AP$31*VALORI!$B$4)-(AP$32*VALORI!$B$3)-(AP$33*VALORI!$B$5),0)</f>
        <v>0</v>
      </c>
      <c r="AQ38" s="28">
        <f>IF(AQ3&gt;0, AQ3-(AQ$30*VALORI!$B$4)-(AQ$31*VALORI!$B$4)-(AQ$32*VALORI!$B$3)-(AQ$33*VALORI!$B$5),0)</f>
        <v>0</v>
      </c>
    </row>
    <row r="39" spans="15:49" ht="15.75" x14ac:dyDescent="0.25">
      <c r="O39" s="25">
        <v>0</v>
      </c>
      <c r="P39" s="25">
        <f>(O39*10%)+O39</f>
        <v>0</v>
      </c>
      <c r="Q39" s="25">
        <f t="shared" ref="Q39:Q53" si="8">(P39*4%)+P39</f>
        <v>0</v>
      </c>
      <c r="R39" s="25">
        <f t="shared" ref="R39:R53" si="9">(Q39*3%)+Q39</f>
        <v>0</v>
      </c>
      <c r="W39" s="28">
        <f>IF(W4&gt;0, W4-(W$30*VALORI!$B$4)-(W$31*VALORI!$B$4)-(W$32*VALORI!$B$3)-(W$33*VALORI!$B$5),0)</f>
        <v>0</v>
      </c>
      <c r="X39" s="28">
        <f>IF(X4&gt;0, X4-(X$30*VALORI!$B$4)-(X$31*VALORI!$B$4)-(X$32*VALORI!$B$3)-(X$33*VALORI!$B$5),0)</f>
        <v>0</v>
      </c>
      <c r="Y39" s="28">
        <f>IF(Y4&gt;0, Y4-(Y$30*VALORI!$B$4)-(Y$31*VALORI!$B$4)-(Y$32*VALORI!$B$3)-(Y$33*VALORI!$B$5),0)</f>
        <v>0</v>
      </c>
      <c r="Z39" s="28">
        <f>IF(Z4&gt;0, Z4-(Z$30*VALORI!$B$4)-(Z$31*VALORI!$B$4)-(Z$32*VALORI!$B$3)-(Z$33*VALORI!$B$5),0)</f>
        <v>0</v>
      </c>
      <c r="AA39" s="28">
        <f>IF(AA4&gt;0, AA4-(AA$30*VALORI!$B$4)-(AA$31*VALORI!$B$4)-(AA$32*VALORI!$B$3)-(AA$33*VALORI!$B$5),0)</f>
        <v>0</v>
      </c>
      <c r="AB39" s="28">
        <f>IF(AB4&gt;0, AB4-(AB$30*VALORI!$B$4)-(AB$31*VALORI!$B$4)-(AB$32*VALORI!$B$3)-(AB$33*VALORI!$B$5),0)</f>
        <v>0</v>
      </c>
      <c r="AC39" s="28">
        <f>IF(AC4&gt;0, AC4-(AC$30*VALORI!$B$4)-(AC$31*VALORI!$B$4)-(AC$32*VALORI!$B$3)-(AC$33*VALORI!$B$5),0)</f>
        <v>0</v>
      </c>
      <c r="AD39" s="28">
        <f>IF(AD4&gt;0, AD4-(AD$30*VALORI!$B$4)-(AD$31*VALORI!$B$4)-(AD$32*VALORI!$B$3)-(AD$33*VALORI!$B$5),0)</f>
        <v>0</v>
      </c>
      <c r="AE39" s="28">
        <f>IF(AE4&gt;0, AE4-(AE$30*VALORI!$B$4)-(AE$31*VALORI!$B$4)-(AE$32*VALORI!$B$3)-(AE$33*VALORI!$B$5),0)</f>
        <v>0</v>
      </c>
      <c r="AF39" s="28">
        <f>IF(AF4&gt;0, AF4-(AF$30*VALORI!$B$4)-(AF$31*VALORI!$B$4)-(AF$32*VALORI!$B$3)-(AF$33*VALORI!$B$5),0)</f>
        <v>0</v>
      </c>
      <c r="AG39" s="28">
        <f>IF(AG4&gt;0, AG4-(AG$30*VALORI!$B$4)-(AG$31*VALORI!$B$4)-(AG$32*VALORI!$B$3)-(AG$33*VALORI!$B$5),0)</f>
        <v>0</v>
      </c>
      <c r="AH39" s="28">
        <f>IF(AH4&gt;0, AH4-(AH$30*VALORI!$B$4)-(AH$31*VALORI!$B$4)-(AH$32*VALORI!$B$3)-(AH$33*VALORI!$B$5),0)</f>
        <v>0</v>
      </c>
      <c r="AI39" s="28">
        <f>IF(AI4&gt;0, AI4-(AI$30*VALORI!$B$4)-(AI$31*VALORI!$B$4)-(AI$32*VALORI!$B$3)-(AI$33*VALORI!$B$5),0)</f>
        <v>0</v>
      </c>
      <c r="AJ39" s="28">
        <f>IF(AJ4&gt;0, AJ4-(AJ$30*VALORI!$B$4)-(AJ$31*VALORI!$B$4)-(AJ$32*VALORI!$B$3)-(AJ$33*VALORI!$B$5),0)</f>
        <v>0</v>
      </c>
      <c r="AK39" s="28">
        <f>IF(AK4&gt;0, AK4-(AK$30*VALORI!$B$4)-(AK$31*VALORI!$B$4)-(AK$32*VALORI!$B$3)-(AK$33*VALORI!$B$5),0)</f>
        <v>0</v>
      </c>
      <c r="AL39" s="28">
        <f>IF(AL4&gt;0, AL4-(AL$30*VALORI!$B$4)-(AL$31*VALORI!$B$4)-(AL$32*VALORI!$B$3)-(AL$33*VALORI!$B$5),0)</f>
        <v>0</v>
      </c>
      <c r="AM39" s="28">
        <f>IF(AM4&gt;0, AM4-(AM$30*VALORI!$B$4)-(AM$31*VALORI!$B$4)-(AM$32*VALORI!$B$3)-(AM$33*VALORI!$B$5),0)</f>
        <v>0</v>
      </c>
      <c r="AN39" s="28">
        <f>IF(AN4&gt;0, AN4-(AN$30*VALORI!$B$4)-(AN$31*VALORI!$B$4)-(AN$32*VALORI!$B$3)-(AN$33*VALORI!$B$5),0)</f>
        <v>0</v>
      </c>
      <c r="AO39" s="28">
        <f>IF(AO4&gt;0, AO4-(AO$30*VALORI!$B$4)-(AO$31*VALORI!$B$4)-(AO$32*VALORI!$B$3)-(AO$33*VALORI!$B$5),0)</f>
        <v>0</v>
      </c>
      <c r="AP39" s="28">
        <f>IF(AP4&gt;0, AP4-(AP$30*VALORI!$B$4)-(AP$31*VALORI!$B$4)-(AP$32*VALORI!$B$3)-(AP$33*VALORI!$B$5),0)</f>
        <v>0</v>
      </c>
      <c r="AQ39" s="28">
        <f>IF(AQ4&gt;0, AQ4-(AQ$30*VALORI!$B$4)-(AQ$31*VALORI!$B$4)-(AQ$32*VALORI!$B$3)-(AQ$33*VALORI!$B$5),0)</f>
        <v>0</v>
      </c>
    </row>
    <row r="40" spans="15:49" ht="15.75" x14ac:dyDescent="0.25">
      <c r="O40" s="25">
        <v>0</v>
      </c>
      <c r="P40" s="25">
        <f t="shared" ref="P40:P53" si="10">(O40*10%)+O40</f>
        <v>0</v>
      </c>
      <c r="Q40" s="25">
        <f t="shared" si="8"/>
        <v>0</v>
      </c>
      <c r="R40" s="25">
        <f t="shared" si="9"/>
        <v>0</v>
      </c>
      <c r="W40" s="28">
        <f>IF(W5&gt;0, W5-(W$30*VALORI!$B$4)-(W$31*VALORI!$B$4)-(W$32*VALORI!$B$3)-(W$33*VALORI!$B$5),0)</f>
        <v>0</v>
      </c>
      <c r="X40" s="28">
        <f>IF(X5&gt;0, X5-(X$30*VALORI!$B$4)-(X$31*VALORI!$B$4)-(X$32*VALORI!$B$3)-(X$33*VALORI!$B$5),0)</f>
        <v>0</v>
      </c>
      <c r="Y40" s="28">
        <f>IF(Y5&gt;0, Y5-(Y$30*VALORI!$B$4)-(Y$31*VALORI!$B$4)-(Y$32*VALORI!$B$3)-(Y$33*VALORI!$B$5),0)</f>
        <v>0</v>
      </c>
      <c r="Z40" s="28">
        <f>IF(Z5&gt;0, Z5-(Z$30*VALORI!$B$4)-(Z$31*VALORI!$B$4)-(Z$32*VALORI!$B$3)-(Z$33*VALORI!$B$5),0)</f>
        <v>0</v>
      </c>
      <c r="AA40" s="28">
        <f>IF(AA5&gt;0, AA5-(AA$30*VALORI!$B$4)-(AA$31*VALORI!$B$4)-(AA$32*VALORI!$B$3)-(AA$33*VALORI!$B$5),0)</f>
        <v>0</v>
      </c>
      <c r="AB40" s="28">
        <f>IF(AB5&gt;0, AB5-(AB$30*VALORI!$B$4)-(AB$31*VALORI!$B$4)-(AB$32*VALORI!$B$3)-(AB$33*VALORI!$B$5),0)</f>
        <v>0</v>
      </c>
      <c r="AC40" s="28">
        <f>IF(AC5&gt;0, AC5-(AC$30*VALORI!$B$4)-(AC$31*VALORI!$B$4)-(AC$32*VALORI!$B$3)-(AC$33*VALORI!$B$5),0)</f>
        <v>0</v>
      </c>
      <c r="AD40" s="28">
        <f>IF(AD5&gt;0, AD5-(AD$30*VALORI!$B$4)-(AD$31*VALORI!$B$4)-(AD$32*VALORI!$B$3)-(AD$33*VALORI!$B$5),0)</f>
        <v>0</v>
      </c>
      <c r="AE40" s="28">
        <f>IF(AE5&gt;0, AE5-(AE$30*VALORI!$B$4)-(AE$31*VALORI!$B$4)-(AE$32*VALORI!$B$3)-(AE$33*VALORI!$B$5),0)</f>
        <v>0</v>
      </c>
      <c r="AF40" s="28">
        <f>IF(AF5&gt;0, AF5-(AF$30*VALORI!$B$4)-(AF$31*VALORI!$B$4)-(AF$32*VALORI!$B$3)-(AF$33*VALORI!$B$5),0)</f>
        <v>0</v>
      </c>
      <c r="AG40" s="28">
        <f>IF(AG5&gt;0, AG5-(AG$30*VALORI!$B$4)-(AG$31*VALORI!$B$4)-(AG$32*VALORI!$B$3)-(AG$33*VALORI!$B$5),0)</f>
        <v>0</v>
      </c>
      <c r="AH40" s="28">
        <f>IF(AH5&gt;0, AH5-(AH$30*VALORI!$B$4)-(AH$31*VALORI!$B$4)-(AH$32*VALORI!$B$3)-(AH$33*VALORI!$B$5),0)</f>
        <v>0</v>
      </c>
      <c r="AI40" s="28">
        <f>IF(AI5&gt;0, AI5-(AI$30*VALORI!$B$4)-(AI$31*VALORI!$B$4)-(AI$32*VALORI!$B$3)-(AI$33*VALORI!$B$5),0)</f>
        <v>0</v>
      </c>
      <c r="AJ40" s="28">
        <f>IF(AJ5&gt;0, AJ5-(AJ$30*VALORI!$B$4)-(AJ$31*VALORI!$B$4)-(AJ$32*VALORI!$B$3)-(AJ$33*VALORI!$B$5),0)</f>
        <v>0</v>
      </c>
      <c r="AK40" s="28">
        <f>IF(AK5&gt;0, AK5-(AK$30*VALORI!$B$4)-(AK$31*VALORI!$B$4)-(AK$32*VALORI!$B$3)-(AK$33*VALORI!$B$5),0)</f>
        <v>0</v>
      </c>
      <c r="AL40" s="28">
        <f>IF(AL5&gt;0, AL5-(AL$30*VALORI!$B$4)-(AL$31*VALORI!$B$4)-(AL$32*VALORI!$B$3)-(AL$33*VALORI!$B$5),0)</f>
        <v>0</v>
      </c>
      <c r="AM40" s="28">
        <f>IF(AM5&gt;0, AM5-(AM$30*VALORI!$B$4)-(AM$31*VALORI!$B$4)-(AM$32*VALORI!$B$3)-(AM$33*VALORI!$B$5),0)</f>
        <v>0</v>
      </c>
      <c r="AN40" s="28">
        <f>IF(AN5&gt;0, AN5-(AN$30*VALORI!$B$4)-(AN$31*VALORI!$B$4)-(AN$32*VALORI!$B$3)-(AN$33*VALORI!$B$5),0)</f>
        <v>0</v>
      </c>
      <c r="AO40" s="28">
        <f>IF(AO5&gt;0, AO5-(AO$30*VALORI!$B$4)-(AO$31*VALORI!$B$4)-(AO$32*VALORI!$B$3)-(AO$33*VALORI!$B$5),0)</f>
        <v>0</v>
      </c>
      <c r="AP40" s="28">
        <f>IF(AP5&gt;0, AP5-(AP$30*VALORI!$B$4)-(AP$31*VALORI!$B$4)-(AP$32*VALORI!$B$3)-(AP$33*VALORI!$B$5),0)</f>
        <v>0</v>
      </c>
      <c r="AQ40" s="28">
        <f>IF(AQ5&gt;0, AQ5-(AQ$30*VALORI!$B$4)-(AQ$31*VALORI!$B$4)-(AQ$32*VALORI!$B$3)-(AQ$33*VALORI!$B$5),0)</f>
        <v>0</v>
      </c>
    </row>
    <row r="41" spans="15:49" ht="15.75" x14ac:dyDescent="0.25">
      <c r="O41" s="25">
        <v>0</v>
      </c>
      <c r="P41" s="25">
        <f t="shared" si="10"/>
        <v>0</v>
      </c>
      <c r="Q41" s="25">
        <f t="shared" si="8"/>
        <v>0</v>
      </c>
      <c r="R41" s="25">
        <f t="shared" si="9"/>
        <v>0</v>
      </c>
      <c r="W41" s="28">
        <f>IF(W6&gt;0, W6-(W$30*VALORI!$B$4)-(W$31*VALORI!$B$4)-(W$32*VALORI!$B$3)-(W$33*VALORI!$B$5),0)</f>
        <v>0</v>
      </c>
      <c r="X41" s="28">
        <f>IF(X6&gt;0, X6-(X$30*VALORI!$B$4)-(X$31*VALORI!$B$4)-(X$32*VALORI!$B$3)-(X$33*VALORI!$B$5),0)</f>
        <v>0</v>
      </c>
      <c r="Y41" s="28">
        <f>IF(Y6&gt;0, Y6-(Y$30*VALORI!$B$4)-(Y$31*VALORI!$B$4)-(Y$32*VALORI!$B$3)-(Y$33*VALORI!$B$5),0)</f>
        <v>0</v>
      </c>
      <c r="Z41" s="28">
        <f>IF(Z6&gt;0, Z6-(Z$30*VALORI!$B$4)-(Z$31*VALORI!$B$4)-(Z$32*VALORI!$B$3)-(Z$33*VALORI!$B$5),0)</f>
        <v>0</v>
      </c>
      <c r="AA41" s="28">
        <f>IF(AA6&gt;0, AA6-(AA$30*VALORI!$B$4)-(AA$31*VALORI!$B$4)-(AA$32*VALORI!$B$3)-(AA$33*VALORI!$B$5),0)</f>
        <v>0</v>
      </c>
      <c r="AB41" s="28">
        <f>IF(AB6&gt;0, AB6-(AB$30*VALORI!$B$4)-(AB$31*VALORI!$B$4)-(AB$32*VALORI!$B$3)-(AB$33*VALORI!$B$5),0)</f>
        <v>0</v>
      </c>
      <c r="AC41" s="28">
        <f>IF(AC6&gt;0, AC6-(AC$30*VALORI!$B$4)-(AC$31*VALORI!$B$4)-(AC$32*VALORI!$B$3)-(AC$33*VALORI!$B$5),0)</f>
        <v>0</v>
      </c>
      <c r="AD41" s="28">
        <f>IF(AD6&gt;0, AD6-(AD$30*VALORI!$B$4)-(AD$31*VALORI!$B$4)-(AD$32*VALORI!$B$3)-(AD$33*VALORI!$B$5),0)</f>
        <v>0</v>
      </c>
      <c r="AE41" s="28">
        <f>IF(AE6&gt;0, AE6-(AE$30*VALORI!$B$4)-(AE$31*VALORI!$B$4)-(AE$32*VALORI!$B$3)-(AE$33*VALORI!$B$5),0)</f>
        <v>0</v>
      </c>
      <c r="AF41" s="28">
        <f>IF(AF6&gt;0, AF6-(AF$30*VALORI!$B$4)-(AF$31*VALORI!$B$4)-(AF$32*VALORI!$B$3)-(AF$33*VALORI!$B$5),0)</f>
        <v>0</v>
      </c>
      <c r="AG41" s="28">
        <f>IF(AG6&gt;0, AG6-(AG$30*VALORI!$B$4)-(AG$31*VALORI!$B$4)-(AG$32*VALORI!$B$3)-(AG$33*VALORI!$B$5),0)</f>
        <v>0</v>
      </c>
      <c r="AH41" s="28">
        <f>IF(AH6&gt;0, AH6-(AH$30*VALORI!$B$4)-(AH$31*VALORI!$B$4)-(AH$32*VALORI!$B$3)-(AH$33*VALORI!$B$5),0)</f>
        <v>0</v>
      </c>
      <c r="AI41" s="28">
        <f>IF(AI6&gt;0, AI6-(AI$30*VALORI!$B$4)-(AI$31*VALORI!$B$4)-(AI$32*VALORI!$B$3)-(AI$33*VALORI!$B$5),0)</f>
        <v>0</v>
      </c>
      <c r="AJ41" s="28">
        <f>IF(AJ6&gt;0, AJ6-(AJ$30*VALORI!$B$4)-(AJ$31*VALORI!$B$4)-(AJ$32*VALORI!$B$3)-(AJ$33*VALORI!$B$5),0)</f>
        <v>0</v>
      </c>
      <c r="AK41" s="28">
        <f>IF(AK6&gt;0, AK6-(AK$30*VALORI!$B$4)-(AK$31*VALORI!$B$4)-(AK$32*VALORI!$B$3)-(AK$33*VALORI!$B$5),0)</f>
        <v>0</v>
      </c>
      <c r="AL41" s="28">
        <f>IF(AL6&gt;0, AL6-(AL$30*VALORI!$B$4)-(AL$31*VALORI!$B$4)-(AL$32*VALORI!$B$3)-(AL$33*VALORI!$B$5),0)</f>
        <v>0</v>
      </c>
      <c r="AM41" s="28">
        <f>IF(AM6&gt;0, AM6-(AM$30*VALORI!$B$4)-(AM$31*VALORI!$B$4)-(AM$32*VALORI!$B$3)-(AM$33*VALORI!$B$5),0)</f>
        <v>0</v>
      </c>
      <c r="AN41" s="28">
        <f>IF(AN6&gt;0, AN6-(AN$30*VALORI!$B$4)-(AN$31*VALORI!$B$4)-(AN$32*VALORI!$B$3)-(AN$33*VALORI!$B$5),0)</f>
        <v>0</v>
      </c>
      <c r="AO41" s="28">
        <f>IF(AO6&gt;0, AO6-(AO$30*VALORI!$B$4)-(AO$31*VALORI!$B$4)-(AO$32*VALORI!$B$3)-(AO$33*VALORI!$B$5),0)</f>
        <v>0</v>
      </c>
      <c r="AP41" s="28">
        <f>IF(AP6&gt;0, AP6-(AP$30*VALORI!$B$4)-(AP$31*VALORI!$B$4)-(AP$32*VALORI!$B$3)-(AP$33*VALORI!$B$5),0)</f>
        <v>0</v>
      </c>
      <c r="AQ41" s="28">
        <f>IF(AQ6&gt;0, AQ6-(AQ$30*VALORI!$B$4)-(AQ$31*VALORI!$B$4)-(AQ$32*VALORI!$B$3)-(AQ$33*VALORI!$B$5),0)</f>
        <v>0</v>
      </c>
    </row>
    <row r="42" spans="15:49" ht="15.75" x14ac:dyDescent="0.25">
      <c r="O42" s="25">
        <v>58800</v>
      </c>
      <c r="P42" s="25">
        <f t="shared" si="10"/>
        <v>64680</v>
      </c>
      <c r="Q42" s="25">
        <f t="shared" si="8"/>
        <v>67267.199999999997</v>
      </c>
      <c r="R42" s="25">
        <f t="shared" si="9"/>
        <v>69285.216</v>
      </c>
      <c r="W42" s="28">
        <f>IF(W7&gt;0, W7-(W$30*VALORI!$B$4)-(W$31*VALORI!$B$4)-(W$32*VALORI!$B$3)-(W$33*VALORI!$B$5),0)</f>
        <v>2917.1129599999995</v>
      </c>
      <c r="X42" s="28">
        <f>IF(X7&gt;0, X7-(X$30*VALORI!$B$4)-(X$31*VALORI!$B$4)-(X$32*VALORI!$B$3)-(X$33*VALORI!$B$5),0)</f>
        <v>10137.0432</v>
      </c>
      <c r="Y42" s="28">
        <f>IF(Y7&gt;0, Y7-(Y$30*VALORI!$B$4)-(Y$31*VALORI!$B$4)-(Y$32*VALORI!$B$3)-(Y$33*VALORI!$B$5),0)</f>
        <v>6008</v>
      </c>
      <c r="Z42" s="28">
        <f>IF(Z7&gt;0, Z7-(Z$30*VALORI!$B$4)-(Z$31*VALORI!$B$4)-(Z$32*VALORI!$B$3)-(Z$33*VALORI!$B$5),0)</f>
        <v>10558</v>
      </c>
      <c r="AA42" s="28">
        <f>IF(AA7&gt;0, AA7-(AA$30*VALORI!$B$4)-(AA$31*VALORI!$B$4)-(AA$32*VALORI!$B$3)-(AA$33*VALORI!$B$5),0)</f>
        <v>2924</v>
      </c>
      <c r="AB42" s="28">
        <f>IF(AB7&gt;0, AB7-(AB$30*VALORI!$B$4)-(AB$31*VALORI!$B$4)-(AB$32*VALORI!$B$3)-(AB$33*VALORI!$B$5),0)</f>
        <v>5397</v>
      </c>
      <c r="AC42" s="28">
        <f>IF(AC7&gt;0, AC7-(AC$30*VALORI!$B$4)-(AC$31*VALORI!$B$4)-(AC$32*VALORI!$B$3)-(AC$33*VALORI!$B$5),0)</f>
        <v>506</v>
      </c>
      <c r="AD42" s="28">
        <f>IF(AD7&gt;0, AD7-(AD$30*VALORI!$B$4)-(AD$31*VALORI!$B$4)-(AD$32*VALORI!$B$3)-(AD$33*VALORI!$B$5),0)</f>
        <v>5646</v>
      </c>
      <c r="AE42" s="28">
        <f>IF(AE7&gt;0, AE7-(AE$30*VALORI!$B$4)-(AE$31*VALORI!$B$4)-(AE$32*VALORI!$B$3)-(AE$33*VALORI!$B$5),0)</f>
        <v>932</v>
      </c>
      <c r="AF42" s="28">
        <f>IF(AF7&gt;0, AF7-(AF$30*VALORI!$B$4)-(AF$31*VALORI!$B$4)-(AF$32*VALORI!$B$3)-(AF$33*VALORI!$B$5),0)</f>
        <v>1677</v>
      </c>
      <c r="AG42" s="28">
        <f>IF(AG7&gt;0, AG7-(AG$30*VALORI!$B$4)-(AG$31*VALORI!$B$4)-(AG$32*VALORI!$B$3)-(AG$33*VALORI!$B$5),0)</f>
        <v>-23</v>
      </c>
      <c r="AH42" s="28">
        <f>IF(AH7&gt;0, AH7-(AH$30*VALORI!$B$4)-(AH$31*VALORI!$B$4)-(AH$32*VALORI!$B$3)-(AH$33*VALORI!$B$5),0)</f>
        <v>3852</v>
      </c>
      <c r="AI42" s="28">
        <f>IF(AI7&gt;0, AI7-(AI$30*VALORI!$B$4)-(AI$31*VALORI!$B$4)-(AI$32*VALORI!$B$3)-(AI$33*VALORI!$B$5),0)</f>
        <v>500</v>
      </c>
      <c r="AJ42" s="28">
        <f>IF(AJ7&gt;0, AJ7-(AJ$30*VALORI!$B$4)-(AJ$31*VALORI!$B$4)-(AJ$32*VALORI!$B$3)-(AJ$33*VALORI!$B$5),0)</f>
        <v>966</v>
      </c>
      <c r="AK42" s="28">
        <f>IF(AK7&gt;0, AK7-(AK$30*VALORI!$B$4)-(AK$31*VALORI!$B$4)-(AK$32*VALORI!$B$3)-(AK$33*VALORI!$B$5),0)</f>
        <v>3110</v>
      </c>
      <c r="AL42" s="28">
        <f>IF(AL7&gt;0, AL7-(AL$30*VALORI!$B$4)-(AL$31*VALORI!$B$4)-(AL$32*VALORI!$B$3)-(AL$33*VALORI!$B$5),0)</f>
        <v>518</v>
      </c>
      <c r="AM42" s="28">
        <f>IF(AM7&gt;0, AM7-(AM$30*VALORI!$B$4)-(AM$31*VALORI!$B$4)-(AM$32*VALORI!$B$3)-(AM$33*VALORI!$B$5),0)</f>
        <v>304</v>
      </c>
      <c r="AN42" s="28">
        <f>IF(AN7&gt;0, AN7-(AN$30*VALORI!$B$4)-(AN$31*VALORI!$B$4)-(AN$32*VALORI!$B$3)-(AN$33*VALORI!$B$5),0)</f>
        <v>679</v>
      </c>
      <c r="AO42" s="28">
        <f>IF(AO7&gt;0, AO7-(AO$30*VALORI!$B$4)-(AO$31*VALORI!$B$4)-(AO$32*VALORI!$B$3)-(AO$33*VALORI!$B$5),0)</f>
        <v>1128</v>
      </c>
      <c r="AP42" s="28" t="e">
        <f>IF(AP7&gt;0, AP7-(AP$30*VALORI!$B$4)-(AP$31*VALORI!$B$4)-(AP$32*VALORI!$B$3)-(AP$33*VALORI!$B$5),0)</f>
        <v>#VALUE!</v>
      </c>
      <c r="AQ42" s="28">
        <f>IF(AQ7&gt;0, AQ7-(AQ$30*VALORI!$B$4)-(AQ$31*VALORI!$B$4)-(AQ$32*VALORI!$B$3)-(AQ$33*VALORI!$B$5),0)</f>
        <v>7358</v>
      </c>
    </row>
    <row r="43" spans="15:49" ht="15.75" x14ac:dyDescent="0.25">
      <c r="O43" s="25">
        <v>0</v>
      </c>
      <c r="P43" s="25">
        <f t="shared" si="10"/>
        <v>0</v>
      </c>
      <c r="Q43" s="25">
        <f t="shared" si="8"/>
        <v>0</v>
      </c>
      <c r="R43" s="25">
        <f t="shared" si="9"/>
        <v>0</v>
      </c>
      <c r="W43" s="28">
        <f>IF(W8&gt;0, W8-(W$30*VALORI!$B$4)-(W$31*VALORI!$B$4)-(W$32*VALORI!$B$3)-(W$33*VALORI!$B$5),0)</f>
        <v>0</v>
      </c>
      <c r="X43" s="28">
        <f>IF(X8&gt;0, X8-(X$30*VALORI!$B$4)-(X$31*VALORI!$B$4)-(X$32*VALORI!$B$3)-(X$33*VALORI!$B$5),0)</f>
        <v>0</v>
      </c>
      <c r="Y43" s="28">
        <f>IF(Y8&gt;0, Y8-(Y$30*VALORI!$B$4)-(Y$31*VALORI!$B$4)-(Y$32*VALORI!$B$3)-(Y$33*VALORI!$B$5),0)</f>
        <v>0</v>
      </c>
      <c r="Z43" s="28">
        <f>IF(Z8&gt;0, Z8-(Z$30*VALORI!$B$4)-(Z$31*VALORI!$B$4)-(Z$32*VALORI!$B$3)-(Z$33*VALORI!$B$5),0)</f>
        <v>0</v>
      </c>
      <c r="AA43" s="28">
        <f>IF(AA8&gt;0, AA8-(AA$30*VALORI!$B$4)-(AA$31*VALORI!$B$4)-(AA$32*VALORI!$B$3)-(AA$33*VALORI!$B$5),0)</f>
        <v>0</v>
      </c>
      <c r="AB43" s="28">
        <f>IF(AB8&gt;0, AB8-(AB$30*VALORI!$B$4)-(AB$31*VALORI!$B$4)-(AB$32*VALORI!$B$3)-(AB$33*VALORI!$B$5),0)</f>
        <v>0</v>
      </c>
      <c r="AC43" s="28">
        <f>IF(AC8&gt;0, AC8-(AC$30*VALORI!$B$4)-(AC$31*VALORI!$B$4)-(AC$32*VALORI!$B$3)-(AC$33*VALORI!$B$5),0)</f>
        <v>0</v>
      </c>
      <c r="AD43" s="28">
        <f>IF(AD8&gt;0, AD8-(AD$30*VALORI!$B$4)-(AD$31*VALORI!$B$4)-(AD$32*VALORI!$B$3)-(AD$33*VALORI!$B$5),0)</f>
        <v>0</v>
      </c>
      <c r="AE43" s="28">
        <f>IF(AE8&gt;0, AE8-(AE$30*VALORI!$B$4)-(AE$31*VALORI!$B$4)-(AE$32*VALORI!$B$3)-(AE$33*VALORI!$B$5),0)</f>
        <v>0</v>
      </c>
      <c r="AF43" s="28">
        <f>IF(AF8&gt;0, AF8-(AF$30*VALORI!$B$4)-(AF$31*VALORI!$B$4)-(AF$32*VALORI!$B$3)-(AF$33*VALORI!$B$5),0)</f>
        <v>0</v>
      </c>
      <c r="AG43" s="28">
        <f>IF(AG8&gt;0, AG8-(AG$30*VALORI!$B$4)-(AG$31*VALORI!$B$4)-(AG$32*VALORI!$B$3)-(AG$33*VALORI!$B$5),0)</f>
        <v>0</v>
      </c>
      <c r="AH43" s="28">
        <f>IF(AH8&gt;0, AH8-(AH$30*VALORI!$B$4)-(AH$31*VALORI!$B$4)-(AH$32*VALORI!$B$3)-(AH$33*VALORI!$B$5),0)</f>
        <v>0</v>
      </c>
      <c r="AI43" s="28">
        <f>IF(AI8&gt;0, AI8-(AI$30*VALORI!$B$4)-(AI$31*VALORI!$B$4)-(AI$32*VALORI!$B$3)-(AI$33*VALORI!$B$5),0)</f>
        <v>0</v>
      </c>
      <c r="AJ43" s="28">
        <f>IF(AJ8&gt;0, AJ8-(AJ$30*VALORI!$B$4)-(AJ$31*VALORI!$B$4)-(AJ$32*VALORI!$B$3)-(AJ$33*VALORI!$B$5),0)</f>
        <v>0</v>
      </c>
      <c r="AK43" s="28">
        <f>IF(AK8&gt;0, AK8-(AK$30*VALORI!$B$4)-(AK$31*VALORI!$B$4)-(AK$32*VALORI!$B$3)-(AK$33*VALORI!$B$5),0)</f>
        <v>0</v>
      </c>
      <c r="AL43" s="28">
        <f>IF(AL8&gt;0, AL8-(AL$30*VALORI!$B$4)-(AL$31*VALORI!$B$4)-(AL$32*VALORI!$B$3)-(AL$33*VALORI!$B$5),0)</f>
        <v>0</v>
      </c>
      <c r="AM43" s="28">
        <f>IF(AM8&gt;0, AM8-(AM$30*VALORI!$B$4)-(AM$31*VALORI!$B$4)-(AM$32*VALORI!$B$3)-(AM$33*VALORI!$B$5),0)</f>
        <v>0</v>
      </c>
      <c r="AN43" s="28">
        <f>IF(AN8&gt;0, AN8-(AN$30*VALORI!$B$4)-(AN$31*VALORI!$B$4)-(AN$32*VALORI!$B$3)-(AN$33*VALORI!$B$5),0)</f>
        <v>0</v>
      </c>
      <c r="AO43" s="28">
        <f>IF(AO8&gt;0, AO8-(AO$30*VALORI!$B$4)-(AO$31*VALORI!$B$4)-(AO$32*VALORI!$B$3)-(AO$33*VALORI!$B$5),0)</f>
        <v>0</v>
      </c>
      <c r="AP43" s="28">
        <f>IF(AP8&gt;0, AP8-(AP$30*VALORI!$B$4)-(AP$31*VALORI!$B$4)-(AP$32*VALORI!$B$3)-(AP$33*VALORI!$B$5),0)</f>
        <v>0</v>
      </c>
      <c r="AQ43" s="28">
        <f>IF(AQ8&gt;0, AQ8-(AQ$30*VALORI!$B$4)-(AQ$31*VALORI!$B$4)-(AQ$32*VALORI!$B$3)-(AQ$33*VALORI!$B$5),0)</f>
        <v>7358</v>
      </c>
    </row>
    <row r="44" spans="15:49" ht="15.75" x14ac:dyDescent="0.25">
      <c r="O44" s="25">
        <v>63000</v>
      </c>
      <c r="P44" s="25">
        <f t="shared" si="10"/>
        <v>69300</v>
      </c>
      <c r="Q44" s="25">
        <f t="shared" si="8"/>
        <v>72072</v>
      </c>
      <c r="R44" s="25">
        <f t="shared" si="9"/>
        <v>74234.16</v>
      </c>
      <c r="W44" s="28">
        <f>IF(W9&gt;0, W9-(W$30*VALORI!$B$4)-(W$31*VALORI!$B$4)-(W$32*VALORI!$B$3)-(W$33*VALORI!$B$5),0)</f>
        <v>3214.0496000000003</v>
      </c>
      <c r="X44" s="28">
        <f>IF(X9&gt;0, X9-(X$30*VALORI!$B$4)-(X$31*VALORI!$B$4)-(X$32*VALORI!$B$3)-(X$33*VALORI!$B$5),0)</f>
        <v>11126.832000000002</v>
      </c>
      <c r="Y44" s="28">
        <f>IF(Y9&gt;0, Y9-(Y$30*VALORI!$B$4)-(Y$31*VALORI!$B$4)-(Y$32*VALORI!$B$3)-(Y$33*VALORI!$B$5),0)</f>
        <v>7008</v>
      </c>
      <c r="Z44" s="28">
        <f>IF(Z9&gt;0, Z9-(Z$30*VALORI!$B$4)-(Z$31*VALORI!$B$4)-(Z$32*VALORI!$B$3)-(Z$33*VALORI!$B$5),0)</f>
        <v>12208</v>
      </c>
      <c r="AA44" s="28">
        <f>IF(AA9&gt;0, AA9-(AA$30*VALORI!$B$4)-(AA$31*VALORI!$B$4)-(AA$32*VALORI!$B$3)-(AA$33*VALORI!$B$5),0)</f>
        <v>2924</v>
      </c>
      <c r="AB44" s="28">
        <f>IF(AB9&gt;0, AB9-(AB$30*VALORI!$B$4)-(AB$31*VALORI!$B$4)-(AB$32*VALORI!$B$3)-(AB$33*VALORI!$B$5),0)</f>
        <v>5397</v>
      </c>
      <c r="AC44" s="28">
        <f>IF(AC9&gt;0, AC9-(AC$30*VALORI!$B$4)-(AC$31*VALORI!$B$4)-(AC$32*VALORI!$B$3)-(AC$33*VALORI!$B$5),0)</f>
        <v>506</v>
      </c>
      <c r="AD44" s="28">
        <f>IF(AD9&gt;0, AD9-(AD$30*VALORI!$B$4)-(AD$31*VALORI!$B$4)-(AD$32*VALORI!$B$3)-(AD$33*VALORI!$B$5),0)</f>
        <v>5646</v>
      </c>
      <c r="AE44" s="28">
        <f>IF(AE9&gt;0, AE9-(AE$30*VALORI!$B$4)-(AE$31*VALORI!$B$4)-(AE$32*VALORI!$B$3)-(AE$33*VALORI!$B$5),0)</f>
        <v>932</v>
      </c>
      <c r="AF44" s="28">
        <f>IF(AF9&gt;0, AF9-(AF$30*VALORI!$B$4)-(AF$31*VALORI!$B$4)-(AF$32*VALORI!$B$3)-(AF$33*VALORI!$B$5),0)</f>
        <v>1677</v>
      </c>
      <c r="AG44" s="28">
        <f>IF(AG9&gt;0, AG9-(AG$30*VALORI!$B$4)-(AG$31*VALORI!$B$4)-(AG$32*VALORI!$B$3)-(AG$33*VALORI!$B$5),0)</f>
        <v>-23</v>
      </c>
      <c r="AH44" s="28">
        <f>IF(AH9&gt;0, AH9-(AH$30*VALORI!$B$4)-(AH$31*VALORI!$B$4)-(AH$32*VALORI!$B$3)-(AH$33*VALORI!$B$5),0)</f>
        <v>4852</v>
      </c>
      <c r="AI44" s="28">
        <f>IF(AI9&gt;0, AI9-(AI$30*VALORI!$B$4)-(AI$31*VALORI!$B$4)-(AI$32*VALORI!$B$3)-(AI$33*VALORI!$B$5),0)</f>
        <v>500</v>
      </c>
      <c r="AJ44" s="28">
        <f>IF(AJ9&gt;0, AJ9-(AJ$30*VALORI!$B$4)-(AJ$31*VALORI!$B$4)-(AJ$32*VALORI!$B$3)-(AJ$33*VALORI!$B$5),0)</f>
        <v>966</v>
      </c>
      <c r="AK44" s="28">
        <f>IF(AK9&gt;0, AK9-(AK$30*VALORI!$B$4)-(AK$31*VALORI!$B$4)-(AK$32*VALORI!$B$3)-(AK$33*VALORI!$B$5),0)</f>
        <v>5110</v>
      </c>
      <c r="AL44" s="28">
        <f>IF(AL9&gt;0, AL9-(AL$30*VALORI!$B$4)-(AL$31*VALORI!$B$4)-(AL$32*VALORI!$B$3)-(AL$33*VALORI!$B$5),0)</f>
        <v>818</v>
      </c>
      <c r="AM44" s="28">
        <f>IF(AM9&gt;0, AM9-(AM$30*VALORI!$B$4)-(AM$31*VALORI!$B$4)-(AM$32*VALORI!$B$3)-(AM$33*VALORI!$B$5),0)</f>
        <v>304</v>
      </c>
      <c r="AN44" s="28">
        <f>IF(AN9&gt;0, AN9-(AN$30*VALORI!$B$4)-(AN$31*VALORI!$B$4)-(AN$32*VALORI!$B$3)-(AN$33*VALORI!$B$5),0)</f>
        <v>679</v>
      </c>
      <c r="AO44" s="28">
        <f>IF(AO9&gt;0, AO9-(AO$30*VALORI!$B$4)-(AO$31*VALORI!$B$4)-(AO$32*VALORI!$B$3)-(AO$33*VALORI!$B$5),0)</f>
        <v>1328</v>
      </c>
      <c r="AP44" s="28" t="e">
        <f>IF(AP9&gt;0, AP9-(AP$30*VALORI!$B$4)-(AP$31*VALORI!$B$4)-(AP$32*VALORI!$B$3)-(AP$33*VALORI!$B$5),0)</f>
        <v>#VALUE!</v>
      </c>
      <c r="AQ44" s="28">
        <f>IF(AQ9&gt;0, AQ9-(AQ$30*VALORI!$B$4)-(AQ$31*VALORI!$B$4)-(AQ$32*VALORI!$B$3)-(AQ$33*VALORI!$B$5),0)</f>
        <v>7358</v>
      </c>
    </row>
    <row r="45" spans="15:49" ht="15.75" x14ac:dyDescent="0.25">
      <c r="O45" s="25">
        <v>0</v>
      </c>
      <c r="P45" s="25">
        <f t="shared" si="10"/>
        <v>0</v>
      </c>
      <c r="Q45" s="25">
        <f t="shared" si="8"/>
        <v>0</v>
      </c>
      <c r="R45" s="25">
        <f t="shared" si="9"/>
        <v>0</v>
      </c>
      <c r="W45" s="28">
        <f>IF(W10&gt;0, W10-(W$30*VALORI!$B$4)-(W$31*VALORI!$B$4)-(W$32*VALORI!$B$3)-(W$33*VALORI!$B$5),0)</f>
        <v>0</v>
      </c>
      <c r="X45" s="28">
        <f>IF(X10&gt;0, X10-(X$30*VALORI!$B$4)-(X$31*VALORI!$B$4)-(X$32*VALORI!$B$3)-(X$33*VALORI!$B$5),0)</f>
        <v>0</v>
      </c>
      <c r="Y45" s="28">
        <f>IF(Y10&gt;0, Y10-(Y$30*VALORI!$B$4)-(Y$31*VALORI!$B$4)-(Y$32*VALORI!$B$3)-(Y$33*VALORI!$B$5),0)</f>
        <v>0</v>
      </c>
      <c r="Z45" s="28">
        <f>IF(Z10&gt;0, Z10-(Z$30*VALORI!$B$4)-(Z$31*VALORI!$B$4)-(Z$32*VALORI!$B$3)-(Z$33*VALORI!$B$5),0)</f>
        <v>0</v>
      </c>
      <c r="AA45" s="28">
        <f>IF(AA10&gt;0, AA10-(AA$30*VALORI!$B$4)-(AA$31*VALORI!$B$4)-(AA$32*VALORI!$B$3)-(AA$33*VALORI!$B$5),0)</f>
        <v>0</v>
      </c>
      <c r="AB45" s="28">
        <f>IF(AB10&gt;0, AB10-(AB$30*VALORI!$B$4)-(AB$31*VALORI!$B$4)-(AB$32*VALORI!$B$3)-(AB$33*VALORI!$B$5),0)</f>
        <v>0</v>
      </c>
      <c r="AC45" s="28">
        <f>IF(AC10&gt;0, AC10-(AC$30*VALORI!$B$4)-(AC$31*VALORI!$B$4)-(AC$32*VALORI!$B$3)-(AC$33*VALORI!$B$5),0)</f>
        <v>0</v>
      </c>
      <c r="AD45" s="28">
        <f>IF(AD10&gt;0, AD10-(AD$30*VALORI!$B$4)-(AD$31*VALORI!$B$4)-(AD$32*VALORI!$B$3)-(AD$33*VALORI!$B$5),0)</f>
        <v>0</v>
      </c>
      <c r="AE45" s="28">
        <f>IF(AE10&gt;0, AE10-(AE$30*VALORI!$B$4)-(AE$31*VALORI!$B$4)-(AE$32*VALORI!$B$3)-(AE$33*VALORI!$B$5),0)</f>
        <v>0</v>
      </c>
      <c r="AF45" s="28">
        <f>IF(AF10&gt;0, AF10-(AF$30*VALORI!$B$4)-(AF$31*VALORI!$B$4)-(AF$32*VALORI!$B$3)-(AF$33*VALORI!$B$5),0)</f>
        <v>0</v>
      </c>
      <c r="AG45" s="28">
        <f>IF(AG10&gt;0, AG10-(AG$30*VALORI!$B$4)-(AG$31*VALORI!$B$4)-(AG$32*VALORI!$B$3)-(AG$33*VALORI!$B$5),0)</f>
        <v>0</v>
      </c>
      <c r="AH45" s="28">
        <f>IF(AH10&gt;0, AH10-(AH$30*VALORI!$B$4)-(AH$31*VALORI!$B$4)-(AH$32*VALORI!$B$3)-(AH$33*VALORI!$B$5),0)</f>
        <v>0</v>
      </c>
      <c r="AI45" s="28">
        <f>IF(AI10&gt;0, AI10-(AI$30*VALORI!$B$4)-(AI$31*VALORI!$B$4)-(AI$32*VALORI!$B$3)-(AI$33*VALORI!$B$5),0)</f>
        <v>0</v>
      </c>
      <c r="AJ45" s="28">
        <f>IF(AJ10&gt;0, AJ10-(AJ$30*VALORI!$B$4)-(AJ$31*VALORI!$B$4)-(AJ$32*VALORI!$B$3)-(AJ$33*VALORI!$B$5),0)</f>
        <v>0</v>
      </c>
      <c r="AK45" s="28">
        <f>IF(AK10&gt;0, AK10-(AK$30*VALORI!$B$4)-(AK$31*VALORI!$B$4)-(AK$32*VALORI!$B$3)-(AK$33*VALORI!$B$5),0)</f>
        <v>0</v>
      </c>
      <c r="AL45" s="28">
        <f>IF(AL10&gt;0, AL10-(AL$30*VALORI!$B$4)-(AL$31*VALORI!$B$4)-(AL$32*VALORI!$B$3)-(AL$33*VALORI!$B$5),0)</f>
        <v>0</v>
      </c>
      <c r="AM45" s="28">
        <f>IF(AM10&gt;0, AM10-(AM$30*VALORI!$B$4)-(AM$31*VALORI!$B$4)-(AM$32*VALORI!$B$3)-(AM$33*VALORI!$B$5),0)</f>
        <v>0</v>
      </c>
      <c r="AN45" s="28">
        <f>IF(AN10&gt;0, AN10-(AN$30*VALORI!$B$4)-(AN$31*VALORI!$B$4)-(AN$32*VALORI!$B$3)-(AN$33*VALORI!$B$5),0)</f>
        <v>0</v>
      </c>
      <c r="AO45" s="28">
        <f>IF(AO10&gt;0, AO10-(AO$30*VALORI!$B$4)-(AO$31*VALORI!$B$4)-(AO$32*VALORI!$B$3)-(AO$33*VALORI!$B$5),0)</f>
        <v>0</v>
      </c>
      <c r="AP45" s="28">
        <f>IF(AP10&gt;0, AP10-(AP$30*VALORI!$B$4)-(AP$31*VALORI!$B$4)-(AP$32*VALORI!$B$3)-(AP$33*VALORI!$B$5),0)</f>
        <v>0</v>
      </c>
      <c r="AQ45" s="28">
        <f>IF(AQ10&gt;0, AQ10-(AQ$30*VALORI!$B$4)-(AQ$31*VALORI!$B$4)-(AQ$32*VALORI!$B$3)-(AQ$33*VALORI!$B$5),0)</f>
        <v>0</v>
      </c>
    </row>
    <row r="46" spans="15:49" ht="15.75" x14ac:dyDescent="0.25">
      <c r="O46" s="25">
        <v>76650</v>
      </c>
      <c r="P46" s="25">
        <f t="shared" si="10"/>
        <v>84315</v>
      </c>
      <c r="Q46" s="25">
        <f t="shared" si="8"/>
        <v>87687.6</v>
      </c>
      <c r="R46" s="25">
        <f t="shared" si="9"/>
        <v>90318.228000000003</v>
      </c>
      <c r="W46" s="28">
        <f>IF(W11&gt;0, W11-(W$30*VALORI!$B$4)-(W$31*VALORI!$B$4)-(W$32*VALORI!$B$3)-(W$33*VALORI!$B$5),0)</f>
        <v>4179.0936799999999</v>
      </c>
      <c r="X46" s="28">
        <f>IF(X11&gt;0, X11-(X$30*VALORI!$B$4)-(X$31*VALORI!$B$4)-(X$32*VALORI!$B$3)-(X$33*VALORI!$B$5),0)</f>
        <v>14343.6456</v>
      </c>
      <c r="Y46" s="28">
        <f>IF(Y11&gt;0, Y11-(Y$30*VALORI!$B$4)-(Y$31*VALORI!$B$4)-(Y$32*VALORI!$B$3)-(Y$33*VALORI!$B$5),0)</f>
        <v>9008</v>
      </c>
      <c r="Z46" s="28">
        <f>IF(Z11&gt;0, Z11-(Z$30*VALORI!$B$4)-(Z$31*VALORI!$B$4)-(Z$32*VALORI!$B$3)-(Z$33*VALORI!$B$5),0)</f>
        <v>15508</v>
      </c>
      <c r="AA46" s="28">
        <f>IF(AA11&gt;0, AA11-(AA$30*VALORI!$B$4)-(AA$31*VALORI!$B$4)-(AA$32*VALORI!$B$3)-(AA$33*VALORI!$B$5),0)</f>
        <v>2924</v>
      </c>
      <c r="AB46" s="28">
        <f>IF(AB11&gt;0, AB11-(AB$30*VALORI!$B$4)-(AB$31*VALORI!$B$4)-(AB$32*VALORI!$B$3)-(AB$33*VALORI!$B$5),0)</f>
        <v>5397</v>
      </c>
      <c r="AC46" s="28">
        <f>IF(AC11&gt;0, AC11-(AC$30*VALORI!$B$4)-(AC$31*VALORI!$B$4)-(AC$32*VALORI!$B$3)-(AC$33*VALORI!$B$5),0)</f>
        <v>506</v>
      </c>
      <c r="AD46" s="28">
        <f>IF(AD11&gt;0, AD11-(AD$30*VALORI!$B$4)-(AD$31*VALORI!$B$4)-(AD$32*VALORI!$B$3)-(AD$33*VALORI!$B$5),0)</f>
        <v>5646</v>
      </c>
      <c r="AE46" s="28">
        <f>IF(AE11&gt;0, AE11-(AE$30*VALORI!$B$4)-(AE$31*VALORI!$B$4)-(AE$32*VALORI!$B$3)-(AE$33*VALORI!$B$5),0)</f>
        <v>932</v>
      </c>
      <c r="AF46" s="28">
        <f>IF(AF11&gt;0, AF11-(AF$30*VALORI!$B$4)-(AF$31*VALORI!$B$4)-(AF$32*VALORI!$B$3)-(AF$33*VALORI!$B$5),0)</f>
        <v>1677</v>
      </c>
      <c r="AG46" s="28">
        <f>IF(AG11&gt;0, AG11-(AG$30*VALORI!$B$4)-(AG$31*VALORI!$B$4)-(AG$32*VALORI!$B$3)-(AG$33*VALORI!$B$5),0)</f>
        <v>-23</v>
      </c>
      <c r="AH46" s="28">
        <f>IF(AH11&gt;0, AH11-(AH$30*VALORI!$B$4)-(AH$31*VALORI!$B$4)-(AH$32*VALORI!$B$3)-(AH$33*VALORI!$B$5),0)</f>
        <v>3852</v>
      </c>
      <c r="AI46" s="28">
        <f>IF(AI11&gt;0, AI11-(AI$30*VALORI!$B$4)-(AI$31*VALORI!$B$4)-(AI$32*VALORI!$B$3)-(AI$33*VALORI!$B$5),0)</f>
        <v>2600</v>
      </c>
      <c r="AJ46" s="28">
        <f>IF(AJ11&gt;0, AJ11-(AJ$30*VALORI!$B$4)-(AJ$31*VALORI!$B$4)-(AJ$32*VALORI!$B$3)-(AJ$33*VALORI!$B$5),0)</f>
        <v>1566</v>
      </c>
      <c r="AK46" s="28">
        <f>IF(AK11&gt;0, AK11-(AK$30*VALORI!$B$4)-(AK$31*VALORI!$B$4)-(AK$32*VALORI!$B$3)-(AK$33*VALORI!$B$5),0)</f>
        <v>5110</v>
      </c>
      <c r="AL46" s="28">
        <f>IF(AL11&gt;0, AL11-(AL$30*VALORI!$B$4)-(AL$31*VALORI!$B$4)-(AL$32*VALORI!$B$3)-(AL$33*VALORI!$B$5),0)</f>
        <v>818</v>
      </c>
      <c r="AM46" s="28">
        <f>IF(AM11&gt;0, AM11-(AM$30*VALORI!$B$4)-(AM$31*VALORI!$B$4)-(AM$32*VALORI!$B$3)-(AM$33*VALORI!$B$5),0)</f>
        <v>304</v>
      </c>
      <c r="AN46" s="28">
        <f>IF(AN11&gt;0, AN11-(AN$30*VALORI!$B$4)-(AN$31*VALORI!$B$4)-(AN$32*VALORI!$B$3)-(AN$33*VALORI!$B$5),0)</f>
        <v>1779</v>
      </c>
      <c r="AO46" s="28">
        <f>IF(AO11&gt;0, AO11-(AO$30*VALORI!$B$4)-(AO$31*VALORI!$B$4)-(AO$32*VALORI!$B$3)-(AO$33*VALORI!$B$5),0)</f>
        <v>1328</v>
      </c>
      <c r="AP46" s="28" t="e">
        <f>IF(AP11&gt;0, AP11-(AP$30*VALORI!$B$4)-(AP$31*VALORI!$B$4)-(AP$32*VALORI!$B$3)-(AP$33*VALORI!$B$5),0)</f>
        <v>#VALUE!</v>
      </c>
      <c r="AQ46" s="28">
        <f>IF(AQ11&gt;0, AQ11-(AQ$30*VALORI!$B$4)-(AQ$31*VALORI!$B$4)-(AQ$32*VALORI!$B$3)-(AQ$33*VALORI!$B$5),0)</f>
        <v>7358</v>
      </c>
    </row>
    <row r="47" spans="15:49" ht="15.75" x14ac:dyDescent="0.25">
      <c r="O47" s="25">
        <v>78750</v>
      </c>
      <c r="P47" s="25">
        <f t="shared" si="10"/>
        <v>86625</v>
      </c>
      <c r="Q47" s="25">
        <f t="shared" si="8"/>
        <v>90090</v>
      </c>
      <c r="R47" s="25">
        <f t="shared" si="9"/>
        <v>92792.7</v>
      </c>
      <c r="W47" s="28">
        <f>IF(W12&gt;0, W12-(W$30*VALORI!$B$4)-(W$31*VALORI!$B$4)-(W$32*VALORI!$B$3)-(W$33*VALORI!$B$5),0)</f>
        <v>4327.5619999999999</v>
      </c>
      <c r="X47" s="28">
        <f>IF(X12&gt;0, X12-(X$30*VALORI!$B$4)-(X$31*VALORI!$B$4)-(X$32*VALORI!$B$3)-(X$33*VALORI!$B$5),0)</f>
        <v>14838.54</v>
      </c>
      <c r="Y47" s="28">
        <f>IF(Y12&gt;0, Y12-(Y$30*VALORI!$B$4)-(Y$31*VALORI!$B$4)-(Y$32*VALORI!$B$3)-(Y$33*VALORI!$B$5),0)</f>
        <v>10008</v>
      </c>
      <c r="Z47" s="28">
        <f>IF(Z12&gt;0, Z12-(Z$30*VALORI!$B$4)-(Z$31*VALORI!$B$4)-(Z$32*VALORI!$B$3)-(Z$33*VALORI!$B$5),0)</f>
        <v>17158</v>
      </c>
      <c r="AA47" s="28">
        <f>IF(AA12&gt;0, AA12-(AA$30*VALORI!$B$4)-(AA$31*VALORI!$B$4)-(AA$32*VALORI!$B$3)-(AA$33*VALORI!$B$5),0)</f>
        <v>2924</v>
      </c>
      <c r="AB47" s="28">
        <f>IF(AB12&gt;0, AB12-(AB$30*VALORI!$B$4)-(AB$31*VALORI!$B$4)-(AB$32*VALORI!$B$3)-(AB$33*VALORI!$B$5),0)</f>
        <v>5397</v>
      </c>
      <c r="AC47" s="28">
        <f>IF(AC12&gt;0, AC12-(AC$30*VALORI!$B$4)-(AC$31*VALORI!$B$4)-(AC$32*VALORI!$B$3)-(AC$33*VALORI!$B$5),0)</f>
        <v>506</v>
      </c>
      <c r="AD47" s="28">
        <f>IF(AD12&gt;0, AD12-(AD$30*VALORI!$B$4)-(AD$31*VALORI!$B$4)-(AD$32*VALORI!$B$3)-(AD$33*VALORI!$B$5),0)</f>
        <v>5646</v>
      </c>
      <c r="AE47" s="28">
        <f>IF(AE12&gt;0, AE12-(AE$30*VALORI!$B$4)-(AE$31*VALORI!$B$4)-(AE$32*VALORI!$B$3)-(AE$33*VALORI!$B$5),0)</f>
        <v>932</v>
      </c>
      <c r="AF47" s="28">
        <f>IF(AF12&gt;0, AF12-(AF$30*VALORI!$B$4)-(AF$31*VALORI!$B$4)-(AF$32*VALORI!$B$3)-(AF$33*VALORI!$B$5),0)</f>
        <v>1677</v>
      </c>
      <c r="AG47" s="28">
        <f>IF(AG12&gt;0, AG12-(AG$30*VALORI!$B$4)-(AG$31*VALORI!$B$4)-(AG$32*VALORI!$B$3)-(AG$33*VALORI!$B$5),0)</f>
        <v>-23</v>
      </c>
      <c r="AH47" s="28">
        <f>IF(AH12&gt;0, AH12-(AH$30*VALORI!$B$4)-(AH$31*VALORI!$B$4)-(AH$32*VALORI!$B$3)-(AH$33*VALORI!$B$5),0)</f>
        <v>3852</v>
      </c>
      <c r="AI47" s="28">
        <f>IF(AI12&gt;0, AI12-(AI$30*VALORI!$B$4)-(AI$31*VALORI!$B$4)-(AI$32*VALORI!$B$3)-(AI$33*VALORI!$B$5),0)</f>
        <v>2600</v>
      </c>
      <c r="AJ47" s="28">
        <f>IF(AJ12&gt;0, AJ12-(AJ$30*VALORI!$B$4)-(AJ$31*VALORI!$B$4)-(AJ$32*VALORI!$B$3)-(AJ$33*VALORI!$B$5),0)</f>
        <v>1566</v>
      </c>
      <c r="AK47" s="28">
        <f>IF(AK12&gt;0, AK12-(AK$30*VALORI!$B$4)-(AK$31*VALORI!$B$4)-(AK$32*VALORI!$B$3)-(AK$33*VALORI!$B$5),0)</f>
        <v>5110</v>
      </c>
      <c r="AL47" s="28">
        <f>IF(AL12&gt;0, AL12-(AL$30*VALORI!$B$4)-(AL$31*VALORI!$B$4)-(AL$32*VALORI!$B$3)-(AL$33*VALORI!$B$5),0)</f>
        <v>818</v>
      </c>
      <c r="AM47" s="28">
        <f>IF(AM12&gt;0, AM12-(AM$30*VALORI!$B$4)-(AM$31*VALORI!$B$4)-(AM$32*VALORI!$B$3)-(AM$33*VALORI!$B$5),0)</f>
        <v>304</v>
      </c>
      <c r="AN47" s="28">
        <f>IF(AN12&gt;0, AN12-(AN$30*VALORI!$B$4)-(AN$31*VALORI!$B$4)-(AN$32*VALORI!$B$3)-(AN$33*VALORI!$B$5),0)</f>
        <v>1779</v>
      </c>
      <c r="AO47" s="28">
        <f>IF(AO12&gt;0, AO12-(AO$30*VALORI!$B$4)-(AO$31*VALORI!$B$4)-(AO$32*VALORI!$B$3)-(AO$33*VALORI!$B$5),0)</f>
        <v>1328</v>
      </c>
      <c r="AP47" s="28" t="e">
        <f>IF(AP12&gt;0, AP12-(AP$30*VALORI!$B$4)-(AP$31*VALORI!$B$4)-(AP$32*VALORI!$B$3)-(AP$33*VALORI!$B$5),0)</f>
        <v>#VALUE!</v>
      </c>
      <c r="AQ47" s="28">
        <f>IF(AQ12&gt;0, AQ12-(AQ$30*VALORI!$B$4)-(AQ$31*VALORI!$B$4)-(AQ$32*VALORI!$B$3)-(AQ$33*VALORI!$B$5),0)</f>
        <v>7358</v>
      </c>
    </row>
    <row r="48" spans="15:49" ht="15.75" x14ac:dyDescent="0.25">
      <c r="O48" s="25">
        <v>85050</v>
      </c>
      <c r="P48" s="25">
        <f t="shared" si="10"/>
        <v>93555</v>
      </c>
      <c r="Q48" s="25">
        <f t="shared" si="8"/>
        <v>97297.2</v>
      </c>
      <c r="R48" s="25">
        <f t="shared" si="9"/>
        <v>100216.11599999999</v>
      </c>
      <c r="W48" s="28">
        <f>IF(W13&gt;0, W13-(W$30*VALORI!$B$4)-(W$31*VALORI!$B$4)-(W$32*VALORI!$B$3)-(W$33*VALORI!$B$5),0)</f>
        <v>4772.9669599999997</v>
      </c>
      <c r="X48" s="28">
        <f>IF(X13&gt;0, X13-(X$30*VALORI!$B$4)-(X$31*VALORI!$B$4)-(X$32*VALORI!$B$3)-(X$33*VALORI!$B$5),0)</f>
        <v>16323.2232</v>
      </c>
      <c r="Y48" s="28">
        <f>IF(Y13&gt;0, Y13-(Y$30*VALORI!$B$4)-(Y$31*VALORI!$B$4)-(Y$32*VALORI!$B$3)-(Y$33*VALORI!$B$5),0)</f>
        <v>11008</v>
      </c>
      <c r="Z48" s="28">
        <f>IF(Z13&gt;0, Z13-(Z$30*VALORI!$B$4)-(Z$31*VALORI!$B$4)-(Z$32*VALORI!$B$3)-(Z$33*VALORI!$B$5),0)</f>
        <v>18808</v>
      </c>
      <c r="AA48" s="28">
        <f>IF(AA13&gt;0, AA13-(AA$30*VALORI!$B$4)-(AA$31*VALORI!$B$4)-(AA$32*VALORI!$B$3)-(AA$33*VALORI!$B$5),0)</f>
        <v>2924</v>
      </c>
      <c r="AB48" s="28">
        <f>IF(AB13&gt;0, AB13-(AB$30*VALORI!$B$4)-(AB$31*VALORI!$B$4)-(AB$32*VALORI!$B$3)-(AB$33*VALORI!$B$5),0)</f>
        <v>5397</v>
      </c>
      <c r="AC48" s="28">
        <f>IF(AC13&gt;0, AC13-(AC$30*VALORI!$B$4)-(AC$31*VALORI!$B$4)-(AC$32*VALORI!$B$3)-(AC$33*VALORI!$B$5),0)</f>
        <v>506</v>
      </c>
      <c r="AD48" s="28">
        <f>IF(AD13&gt;0, AD13-(AD$30*VALORI!$B$4)-(AD$31*VALORI!$B$4)-(AD$32*VALORI!$B$3)-(AD$33*VALORI!$B$5),0)</f>
        <v>5646</v>
      </c>
      <c r="AE48" s="28">
        <f>IF(AE13&gt;0, AE13-(AE$30*VALORI!$B$4)-(AE$31*VALORI!$B$4)-(AE$32*VALORI!$B$3)-(AE$33*VALORI!$B$5),0)</f>
        <v>932</v>
      </c>
      <c r="AF48" s="28">
        <f>IF(AF13&gt;0, AF13-(AF$30*VALORI!$B$4)-(AF$31*VALORI!$B$4)-(AF$32*VALORI!$B$3)-(AF$33*VALORI!$B$5),0)</f>
        <v>1677</v>
      </c>
      <c r="AG48" s="28">
        <f>IF(AG13&gt;0, AG13-(AG$30*VALORI!$B$4)-(AG$31*VALORI!$B$4)-(AG$32*VALORI!$B$3)-(AG$33*VALORI!$B$5),0)</f>
        <v>-23</v>
      </c>
      <c r="AH48" s="28">
        <f>IF(AH13&gt;0, AH13-(AH$30*VALORI!$B$4)-(AH$31*VALORI!$B$4)-(AH$32*VALORI!$B$3)-(AH$33*VALORI!$B$5),0)</f>
        <v>7852</v>
      </c>
      <c r="AI48" s="28">
        <f>IF(AI13&gt;0, AI13-(AI$30*VALORI!$B$4)-(AI$31*VALORI!$B$4)-(AI$32*VALORI!$B$3)-(AI$33*VALORI!$B$5),0)</f>
        <v>2600</v>
      </c>
      <c r="AJ48" s="28">
        <f>IF(AJ13&gt;0, AJ13-(AJ$30*VALORI!$B$4)-(AJ$31*VALORI!$B$4)-(AJ$32*VALORI!$B$3)-(AJ$33*VALORI!$B$5),0)</f>
        <v>1566</v>
      </c>
      <c r="AK48" s="28">
        <f>IF(AK13&gt;0, AK13-(AK$30*VALORI!$B$4)-(AK$31*VALORI!$B$4)-(AK$32*VALORI!$B$3)-(AK$33*VALORI!$B$5),0)</f>
        <v>5110</v>
      </c>
      <c r="AL48" s="28">
        <f>IF(AL13&gt;0, AL13-(AL$30*VALORI!$B$4)-(AL$31*VALORI!$B$4)-(AL$32*VALORI!$B$3)-(AL$33*VALORI!$B$5),0)</f>
        <v>818</v>
      </c>
      <c r="AM48" s="28">
        <f>IF(AM13&gt;0, AM13-(AM$30*VALORI!$B$4)-(AM$31*VALORI!$B$4)-(AM$32*VALORI!$B$3)-(AM$33*VALORI!$B$5),0)</f>
        <v>304</v>
      </c>
      <c r="AN48" s="28">
        <f>IF(AN13&gt;0, AN13-(AN$30*VALORI!$B$4)-(AN$31*VALORI!$B$4)-(AN$32*VALORI!$B$3)-(AN$33*VALORI!$B$5),0)</f>
        <v>1779</v>
      </c>
      <c r="AO48" s="28">
        <f>IF(AO13&gt;0, AO13-(AO$30*VALORI!$B$4)-(AO$31*VALORI!$B$4)-(AO$32*VALORI!$B$3)-(AO$33*VALORI!$B$5),0)</f>
        <v>2828</v>
      </c>
      <c r="AP48" s="28" t="e">
        <f>IF(AP13&gt;0, AP13-(AP$30*VALORI!$B$4)-(AP$31*VALORI!$B$4)-(AP$32*VALORI!$B$3)-(AP$33*VALORI!$B$5),0)</f>
        <v>#VALUE!</v>
      </c>
      <c r="AQ48" s="28">
        <f>IF(AQ13&gt;0, AQ13-(AQ$30*VALORI!$B$4)-(AQ$31*VALORI!$B$4)-(AQ$32*VALORI!$B$3)-(AQ$33*VALORI!$B$5),0)</f>
        <v>7358</v>
      </c>
    </row>
    <row r="49" spans="15:43" ht="15.75" x14ac:dyDescent="0.25">
      <c r="O49" s="25">
        <v>0</v>
      </c>
      <c r="P49" s="25">
        <f t="shared" si="10"/>
        <v>0</v>
      </c>
      <c r="Q49" s="25">
        <f t="shared" si="8"/>
        <v>0</v>
      </c>
      <c r="R49" s="25">
        <f t="shared" si="9"/>
        <v>0</v>
      </c>
      <c r="W49" s="28">
        <f>IF(W14&gt;0, W14-(W$30*VALORI!$B$4)-(W$31*VALORI!$B$4)-(W$32*VALORI!$B$3)-(W$33*VALORI!$B$5),0)</f>
        <v>0</v>
      </c>
      <c r="X49" s="28">
        <f>IF(X14&gt;0, X14-(X$30*VALORI!$B$4)-(X$31*VALORI!$B$4)-(X$32*VALORI!$B$3)-(X$33*VALORI!$B$5),0)</f>
        <v>0</v>
      </c>
      <c r="Y49" s="28">
        <f>IF(Y14&gt;0, Y14-(Y$30*VALORI!$B$4)-(Y$31*VALORI!$B$4)-(Y$32*VALORI!$B$3)-(Y$33*VALORI!$B$5),0)</f>
        <v>0</v>
      </c>
      <c r="Z49" s="28">
        <f>IF(Z14&gt;0, Z14-(Z$30*VALORI!$B$4)-(Z$31*VALORI!$B$4)-(Z$32*VALORI!$B$3)-(Z$33*VALORI!$B$5),0)</f>
        <v>0</v>
      </c>
      <c r="AA49" s="28">
        <f>IF(AA14&gt;0, AA14-(AA$30*VALORI!$B$4)-(AA$31*VALORI!$B$4)-(AA$32*VALORI!$B$3)-(AA$33*VALORI!$B$5),0)</f>
        <v>0</v>
      </c>
      <c r="AB49" s="28">
        <f>IF(AB14&gt;0, AB14-(AB$30*VALORI!$B$4)-(AB$31*VALORI!$B$4)-(AB$32*VALORI!$B$3)-(AB$33*VALORI!$B$5),0)</f>
        <v>0</v>
      </c>
      <c r="AC49" s="28">
        <f>IF(AC14&gt;0, AC14-(AC$30*VALORI!$B$4)-(AC$31*VALORI!$B$4)-(AC$32*VALORI!$B$3)-(AC$33*VALORI!$B$5),0)</f>
        <v>0</v>
      </c>
      <c r="AD49" s="28">
        <f>IF(AD14&gt;0, AD14-(AD$30*VALORI!$B$4)-(AD$31*VALORI!$B$4)-(AD$32*VALORI!$B$3)-(AD$33*VALORI!$B$5),0)</f>
        <v>0</v>
      </c>
      <c r="AE49" s="28">
        <f>IF(AE14&gt;0, AE14-(AE$30*VALORI!$B$4)-(AE$31*VALORI!$B$4)-(AE$32*VALORI!$B$3)-(AE$33*VALORI!$B$5),0)</f>
        <v>0</v>
      </c>
      <c r="AF49" s="28">
        <f>IF(AF14&gt;0, AF14-(AF$30*VALORI!$B$4)-(AF$31*VALORI!$B$4)-(AF$32*VALORI!$B$3)-(AF$33*VALORI!$B$5),0)</f>
        <v>0</v>
      </c>
      <c r="AG49" s="28">
        <f>IF(AG14&gt;0, AG14-(AG$30*VALORI!$B$4)-(AG$31*VALORI!$B$4)-(AG$32*VALORI!$B$3)-(AG$33*VALORI!$B$5),0)</f>
        <v>0</v>
      </c>
      <c r="AH49" s="28">
        <f>IF(AH14&gt;0, AH14-(AH$30*VALORI!$B$4)-(AH$31*VALORI!$B$4)-(AH$32*VALORI!$B$3)-(AH$33*VALORI!$B$5),0)</f>
        <v>0</v>
      </c>
      <c r="AI49" s="28">
        <f>IF(AI14&gt;0, AI14-(AI$30*VALORI!$B$4)-(AI$31*VALORI!$B$4)-(AI$32*VALORI!$B$3)-(AI$33*VALORI!$B$5),0)</f>
        <v>0</v>
      </c>
      <c r="AJ49" s="28">
        <f>IF(AJ14&gt;0, AJ14-(AJ$30*VALORI!$B$4)-(AJ$31*VALORI!$B$4)-(AJ$32*VALORI!$B$3)-(AJ$33*VALORI!$B$5),0)</f>
        <v>0</v>
      </c>
      <c r="AK49" s="28">
        <f>IF(AK14&gt;0, AK14-(AK$30*VALORI!$B$4)-(AK$31*VALORI!$B$4)-(AK$32*VALORI!$B$3)-(AK$33*VALORI!$B$5),0)</f>
        <v>0</v>
      </c>
      <c r="AL49" s="28">
        <f>IF(AL14&gt;0, AL14-(AL$30*VALORI!$B$4)-(AL$31*VALORI!$B$4)-(AL$32*VALORI!$B$3)-(AL$33*VALORI!$B$5),0)</f>
        <v>0</v>
      </c>
      <c r="AM49" s="28">
        <f>IF(AM14&gt;0, AM14-(AM$30*VALORI!$B$4)-(AM$31*VALORI!$B$4)-(AM$32*VALORI!$B$3)-(AM$33*VALORI!$B$5),0)</f>
        <v>0</v>
      </c>
      <c r="AN49" s="28">
        <f>IF(AN14&gt;0, AN14-(AN$30*VALORI!$B$4)-(AN$31*VALORI!$B$4)-(AN$32*VALORI!$B$3)-(AN$33*VALORI!$B$5),0)</f>
        <v>0</v>
      </c>
      <c r="AO49" s="28">
        <f>IF(AO14&gt;0, AO14-(AO$30*VALORI!$B$4)-(AO$31*VALORI!$B$4)-(AO$32*VALORI!$B$3)-(AO$33*VALORI!$B$5),0)</f>
        <v>0</v>
      </c>
      <c r="AP49" s="28">
        <f>IF(AP14&gt;0, AP14-(AP$30*VALORI!$B$4)-(AP$31*VALORI!$B$4)-(AP$32*VALORI!$B$3)-(AP$33*VALORI!$B$5),0)</f>
        <v>0</v>
      </c>
      <c r="AQ49" s="28">
        <f>IF(AQ14&gt;0, AQ14-(AQ$30*VALORI!$B$4)-(AQ$31*VALORI!$B$4)-(AQ$32*VALORI!$B$3)-(AQ$33*VALORI!$B$5),0)</f>
        <v>0</v>
      </c>
    </row>
    <row r="50" spans="15:43" ht="15.75" x14ac:dyDescent="0.25">
      <c r="O50" s="25">
        <v>89250</v>
      </c>
      <c r="P50" s="25">
        <f t="shared" si="10"/>
        <v>98175</v>
      </c>
      <c r="Q50" s="25">
        <f t="shared" si="8"/>
        <v>102102</v>
      </c>
      <c r="R50" s="25">
        <f t="shared" si="9"/>
        <v>105165.06</v>
      </c>
      <c r="W50" s="28">
        <f>IF(W15&gt;0, W15-(W$30*VALORI!$B$4)-(W$31*VALORI!$B$4)-(W$32*VALORI!$B$3)-(W$33*VALORI!$B$5),0)</f>
        <v>5069.9035999999996</v>
      </c>
      <c r="X50" s="28">
        <f>IF(X15&gt;0, X15-(X$30*VALORI!$B$4)-(X$31*VALORI!$B$4)-(X$32*VALORI!$B$3)-(X$33*VALORI!$B$5),0)</f>
        <v>17313.012000000002</v>
      </c>
      <c r="Y50" s="28">
        <f>IF(Y15&gt;0, Y15-(Y$30*VALORI!$B$4)-(Y$31*VALORI!$B$4)-(Y$32*VALORI!$B$3)-(Y$33*VALORI!$B$5),0)</f>
        <v>11008</v>
      </c>
      <c r="Z50" s="28">
        <f>IF(Z15&gt;0, Z15-(Z$30*VALORI!$B$4)-(Z$31*VALORI!$B$4)-(Z$32*VALORI!$B$3)-(Z$33*VALORI!$B$5),0)</f>
        <v>18808</v>
      </c>
      <c r="AA50" s="28">
        <f>IF(AA15&gt;0, AA15-(AA$30*VALORI!$B$4)-(AA$31*VALORI!$B$4)-(AA$32*VALORI!$B$3)-(AA$33*VALORI!$B$5),0)</f>
        <v>2924</v>
      </c>
      <c r="AB50" s="28">
        <f>IF(AB15&gt;0, AB15-(AB$30*VALORI!$B$4)-(AB$31*VALORI!$B$4)-(AB$32*VALORI!$B$3)-(AB$33*VALORI!$B$5),0)</f>
        <v>5397</v>
      </c>
      <c r="AC50" s="28">
        <f>IF(AC15&gt;0, AC15-(AC$30*VALORI!$B$4)-(AC$31*VALORI!$B$4)-(AC$32*VALORI!$B$3)-(AC$33*VALORI!$B$5),0)</f>
        <v>506</v>
      </c>
      <c r="AD50" s="28">
        <f>IF(AD15&gt;0, AD15-(AD$30*VALORI!$B$4)-(AD$31*VALORI!$B$4)-(AD$32*VALORI!$B$3)-(AD$33*VALORI!$B$5),0)</f>
        <v>5646</v>
      </c>
      <c r="AE50" s="28">
        <f>IF(AE15&gt;0, AE15-(AE$30*VALORI!$B$4)-(AE$31*VALORI!$B$4)-(AE$32*VALORI!$B$3)-(AE$33*VALORI!$B$5),0)</f>
        <v>932</v>
      </c>
      <c r="AF50" s="28">
        <f>IF(AF15&gt;0, AF15-(AF$30*VALORI!$B$4)-(AF$31*VALORI!$B$4)-(AF$32*VALORI!$B$3)-(AF$33*VALORI!$B$5),0)</f>
        <v>1677</v>
      </c>
      <c r="AG50" s="28">
        <f>IF(AG15&gt;0, AG15-(AG$30*VALORI!$B$4)-(AG$31*VALORI!$B$4)-(AG$32*VALORI!$B$3)-(AG$33*VALORI!$B$5),0)</f>
        <v>-23</v>
      </c>
      <c r="AH50" s="28">
        <f>IF(AH15&gt;0, AH15-(AH$30*VALORI!$B$4)-(AH$31*VALORI!$B$4)-(AH$32*VALORI!$B$3)-(AH$33*VALORI!$B$5),0)</f>
        <v>7852</v>
      </c>
      <c r="AI50" s="28">
        <f>IF(AI15&gt;0, AI15-(AI$30*VALORI!$B$4)-(AI$31*VALORI!$B$4)-(AI$32*VALORI!$B$3)-(AI$33*VALORI!$B$5),0)</f>
        <v>2600</v>
      </c>
      <c r="AJ50" s="28">
        <f>IF(AJ15&gt;0, AJ15-(AJ$30*VALORI!$B$4)-(AJ$31*VALORI!$B$4)-(AJ$32*VALORI!$B$3)-(AJ$33*VALORI!$B$5),0)</f>
        <v>1566</v>
      </c>
      <c r="AK50" s="28">
        <f>IF(AK15&gt;0, AK15-(AK$30*VALORI!$B$4)-(AK$31*VALORI!$B$4)-(AK$32*VALORI!$B$3)-(AK$33*VALORI!$B$5),0)</f>
        <v>7110</v>
      </c>
      <c r="AL50" s="28">
        <f>IF(AL15&gt;0, AL15-(AL$30*VALORI!$B$4)-(AL$31*VALORI!$B$4)-(AL$32*VALORI!$B$3)-(AL$33*VALORI!$B$5),0)</f>
        <v>1118</v>
      </c>
      <c r="AM50" s="28">
        <f>IF(AM15&gt;0, AM15-(AM$30*VALORI!$B$4)-(AM$31*VALORI!$B$4)-(AM$32*VALORI!$B$3)-(AM$33*VALORI!$B$5),0)</f>
        <v>304</v>
      </c>
      <c r="AN50" s="28">
        <f>IF(AN15&gt;0, AN15-(AN$30*VALORI!$B$4)-(AN$31*VALORI!$B$4)-(AN$32*VALORI!$B$3)-(AN$33*VALORI!$B$5),0)</f>
        <v>1779</v>
      </c>
      <c r="AO50" s="28">
        <f>IF(AO15&gt;0, AO15-(AO$30*VALORI!$B$4)-(AO$31*VALORI!$B$4)-(AO$32*VALORI!$B$3)-(AO$33*VALORI!$B$5),0)</f>
        <v>2828</v>
      </c>
      <c r="AP50" s="28" t="e">
        <f>IF(AP15&gt;0, AP15-(AP$30*VALORI!$B$4)-(AP$31*VALORI!$B$4)-(AP$32*VALORI!$B$3)-(AP$33*VALORI!$B$5),0)</f>
        <v>#VALUE!</v>
      </c>
      <c r="AQ50" s="28">
        <f>IF(AQ15&gt;0, AQ15-(AQ$30*VALORI!$B$4)-(AQ$31*VALORI!$B$4)-(AQ$32*VALORI!$B$3)-(AQ$33*VALORI!$B$5),0)</f>
        <v>7358</v>
      </c>
    </row>
    <row r="51" spans="15:43" ht="15.75" x14ac:dyDescent="0.25">
      <c r="O51" s="25">
        <v>0</v>
      </c>
      <c r="P51" s="25">
        <f t="shared" si="10"/>
        <v>0</v>
      </c>
      <c r="Q51" s="25">
        <f t="shared" si="8"/>
        <v>0</v>
      </c>
      <c r="R51" s="25">
        <f t="shared" si="9"/>
        <v>0</v>
      </c>
      <c r="W51" s="28">
        <f>IF(W16&gt;0, W16-(W$30*VALORI!$B$4)-(W$31*VALORI!$B$4)-(W$32*VALORI!$B$3)-(W$33*VALORI!$B$5),0)</f>
        <v>0</v>
      </c>
      <c r="X51" s="28">
        <f>IF(X16&gt;0, X16-(X$30*VALORI!$B$4)-(X$31*VALORI!$B$4)-(X$32*VALORI!$B$3)-(X$33*VALORI!$B$5),0)</f>
        <v>0</v>
      </c>
      <c r="Y51" s="28">
        <f>IF(Y16&gt;0, Y16-(Y$30*VALORI!$B$4)-(Y$31*VALORI!$B$4)-(Y$32*VALORI!$B$3)-(Y$33*VALORI!$B$5),0)</f>
        <v>0</v>
      </c>
      <c r="Z51" s="28">
        <f>IF(Z16&gt;0, Z16-(Z$30*VALORI!$B$4)-(Z$31*VALORI!$B$4)-(Z$32*VALORI!$B$3)-(Z$33*VALORI!$B$5),0)</f>
        <v>0</v>
      </c>
      <c r="AA51" s="28">
        <f>IF(AA16&gt;0, AA16-(AA$30*VALORI!$B$4)-(AA$31*VALORI!$B$4)-(AA$32*VALORI!$B$3)-(AA$33*VALORI!$B$5),0)</f>
        <v>0</v>
      </c>
      <c r="AB51" s="28">
        <f>IF(AB16&gt;0, AB16-(AB$30*VALORI!$B$4)-(AB$31*VALORI!$B$4)-(AB$32*VALORI!$B$3)-(AB$33*VALORI!$B$5),0)</f>
        <v>0</v>
      </c>
      <c r="AC51" s="28">
        <f>IF(AC16&gt;0, AC16-(AC$30*VALORI!$B$4)-(AC$31*VALORI!$B$4)-(AC$32*VALORI!$B$3)-(AC$33*VALORI!$B$5),0)</f>
        <v>0</v>
      </c>
      <c r="AD51" s="28">
        <f>IF(AD16&gt;0, AD16-(AD$30*VALORI!$B$4)-(AD$31*VALORI!$B$4)-(AD$32*VALORI!$B$3)-(AD$33*VALORI!$B$5),0)</f>
        <v>0</v>
      </c>
      <c r="AE51" s="28">
        <f>IF(AE16&gt;0, AE16-(AE$30*VALORI!$B$4)-(AE$31*VALORI!$B$4)-(AE$32*VALORI!$B$3)-(AE$33*VALORI!$B$5),0)</f>
        <v>0</v>
      </c>
      <c r="AF51" s="28">
        <f>IF(AF16&gt;0, AF16-(AF$30*VALORI!$B$4)-(AF$31*VALORI!$B$4)-(AF$32*VALORI!$B$3)-(AF$33*VALORI!$B$5),0)</f>
        <v>0</v>
      </c>
      <c r="AG51" s="28">
        <f>IF(AG16&gt;0, AG16-(AG$30*VALORI!$B$4)-(AG$31*VALORI!$B$4)-(AG$32*VALORI!$B$3)-(AG$33*VALORI!$B$5),0)</f>
        <v>0</v>
      </c>
      <c r="AH51" s="28">
        <f>IF(AH16&gt;0, AH16-(AH$30*VALORI!$B$4)-(AH$31*VALORI!$B$4)-(AH$32*VALORI!$B$3)-(AH$33*VALORI!$B$5),0)</f>
        <v>0</v>
      </c>
      <c r="AI51" s="28">
        <f>IF(AI16&gt;0, AI16-(AI$30*VALORI!$B$4)-(AI$31*VALORI!$B$4)-(AI$32*VALORI!$B$3)-(AI$33*VALORI!$B$5),0)</f>
        <v>0</v>
      </c>
      <c r="AJ51" s="28">
        <f>IF(AJ16&gt;0, AJ16-(AJ$30*VALORI!$B$4)-(AJ$31*VALORI!$B$4)-(AJ$32*VALORI!$B$3)-(AJ$33*VALORI!$B$5),0)</f>
        <v>0</v>
      </c>
      <c r="AK51" s="28">
        <f>IF(AK16&gt;0, AK16-(AK$30*VALORI!$B$4)-(AK$31*VALORI!$B$4)-(AK$32*VALORI!$B$3)-(AK$33*VALORI!$B$5),0)</f>
        <v>0</v>
      </c>
      <c r="AL51" s="28">
        <f>IF(AL16&gt;0, AL16-(AL$30*VALORI!$B$4)-(AL$31*VALORI!$B$4)-(AL$32*VALORI!$B$3)-(AL$33*VALORI!$B$5),0)</f>
        <v>0</v>
      </c>
      <c r="AM51" s="28">
        <f>IF(AM16&gt;0, AM16-(AM$30*VALORI!$B$4)-(AM$31*VALORI!$B$4)-(AM$32*VALORI!$B$3)-(AM$33*VALORI!$B$5),0)</f>
        <v>0</v>
      </c>
      <c r="AN51" s="28">
        <f>IF(AN16&gt;0, AN16-(AN$30*VALORI!$B$4)-(AN$31*VALORI!$B$4)-(AN$32*VALORI!$B$3)-(AN$33*VALORI!$B$5),0)</f>
        <v>0</v>
      </c>
      <c r="AO51" s="28">
        <f>IF(AO16&gt;0, AO16-(AO$30*VALORI!$B$4)-(AO$31*VALORI!$B$4)-(AO$32*VALORI!$B$3)-(AO$33*VALORI!$B$5),0)</f>
        <v>0</v>
      </c>
      <c r="AP51" s="28">
        <f>IF(AP16&gt;0, AP16-(AP$30*VALORI!$B$4)-(AP$31*VALORI!$B$4)-(AP$32*VALORI!$B$3)-(AP$33*VALORI!$B$5),0)</f>
        <v>0</v>
      </c>
      <c r="AQ51" s="28">
        <f>IF(AQ16&gt;0, AQ16-(AQ$30*VALORI!$B$4)-(AQ$31*VALORI!$B$4)-(AQ$32*VALORI!$B$3)-(AQ$33*VALORI!$B$5),0)</f>
        <v>0</v>
      </c>
    </row>
    <row r="52" spans="15:43" ht="15.75" x14ac:dyDescent="0.25">
      <c r="O52" s="25">
        <v>0</v>
      </c>
      <c r="P52" s="25">
        <f t="shared" si="10"/>
        <v>0</v>
      </c>
      <c r="Q52" s="25">
        <f t="shared" si="8"/>
        <v>0</v>
      </c>
      <c r="R52" s="25">
        <f t="shared" si="9"/>
        <v>0</v>
      </c>
      <c r="W52" s="28">
        <f>IF(W17&gt;0, W17-(W$30*VALORI!$B$4)-(W$31*VALORI!$B$4)-(W$32*VALORI!$B$3)-(W$33*VALORI!$B$5),0)</f>
        <v>0</v>
      </c>
      <c r="X52" s="28">
        <f>IF(X17&gt;0, X17-(X$30*VALORI!$B$4)-(X$31*VALORI!$B$4)-(X$32*VALORI!$B$3)-(X$33*VALORI!$B$5),0)</f>
        <v>0</v>
      </c>
      <c r="Y52" s="28">
        <f>IF(Y17&gt;0, Y17-(Y$30*VALORI!$B$4)-(Y$31*VALORI!$B$4)-(Y$32*VALORI!$B$3)-(Y$33*VALORI!$B$5),0)</f>
        <v>0</v>
      </c>
      <c r="Z52" s="28">
        <f>IF(Z17&gt;0, Z17-(Z$30*VALORI!$B$4)-(Z$31*VALORI!$B$4)-(Z$32*VALORI!$B$3)-(Z$33*VALORI!$B$5),0)</f>
        <v>0</v>
      </c>
      <c r="AA52" s="28">
        <f>IF(AA17&gt;0, AA17-(AA$30*VALORI!$B$4)-(AA$31*VALORI!$B$4)-(AA$32*VALORI!$B$3)-(AA$33*VALORI!$B$5),0)</f>
        <v>0</v>
      </c>
      <c r="AB52" s="28">
        <f>IF(AB17&gt;0, AB17-(AB$30*VALORI!$B$4)-(AB$31*VALORI!$B$4)-(AB$32*VALORI!$B$3)-(AB$33*VALORI!$B$5),0)</f>
        <v>0</v>
      </c>
      <c r="AC52" s="28">
        <f>IF(AC17&gt;0, AC17-(AC$30*VALORI!$B$4)-(AC$31*VALORI!$B$4)-(AC$32*VALORI!$B$3)-(AC$33*VALORI!$B$5),0)</f>
        <v>0</v>
      </c>
      <c r="AD52" s="28">
        <f>IF(AD17&gt;0, AD17-(AD$30*VALORI!$B$4)-(AD$31*VALORI!$B$4)-(AD$32*VALORI!$B$3)-(AD$33*VALORI!$B$5),0)</f>
        <v>0</v>
      </c>
      <c r="AE52" s="28">
        <f>IF(AE17&gt;0, AE17-(AE$30*VALORI!$B$4)-(AE$31*VALORI!$B$4)-(AE$32*VALORI!$B$3)-(AE$33*VALORI!$B$5),0)</f>
        <v>0</v>
      </c>
      <c r="AF52" s="28">
        <f>IF(AF17&gt;0, AF17-(AF$30*VALORI!$B$4)-(AF$31*VALORI!$B$4)-(AF$32*VALORI!$B$3)-(AF$33*VALORI!$B$5),0)</f>
        <v>0</v>
      </c>
      <c r="AG52" s="28">
        <f>IF(AG17&gt;0, AG17-(AG$30*VALORI!$B$4)-(AG$31*VALORI!$B$4)-(AG$32*VALORI!$B$3)-(AG$33*VALORI!$B$5),0)</f>
        <v>0</v>
      </c>
      <c r="AH52" s="28">
        <f>IF(AH17&gt;0, AH17-(AH$30*VALORI!$B$4)-(AH$31*VALORI!$B$4)-(AH$32*VALORI!$B$3)-(AH$33*VALORI!$B$5),0)</f>
        <v>0</v>
      </c>
      <c r="AI52" s="28">
        <f>IF(AI17&gt;0, AI17-(AI$30*VALORI!$B$4)-(AI$31*VALORI!$B$4)-(AI$32*VALORI!$B$3)-(AI$33*VALORI!$B$5),0)</f>
        <v>0</v>
      </c>
      <c r="AJ52" s="28">
        <f>IF(AJ17&gt;0, AJ17-(AJ$30*VALORI!$B$4)-(AJ$31*VALORI!$B$4)-(AJ$32*VALORI!$B$3)-(AJ$33*VALORI!$B$5),0)</f>
        <v>0</v>
      </c>
      <c r="AK52" s="28">
        <f>IF(AK17&gt;0, AK17-(AK$30*VALORI!$B$4)-(AK$31*VALORI!$B$4)-(AK$32*VALORI!$B$3)-(AK$33*VALORI!$B$5),0)</f>
        <v>0</v>
      </c>
      <c r="AL52" s="28">
        <f>IF(AL17&gt;0, AL17-(AL$30*VALORI!$B$4)-(AL$31*VALORI!$B$4)-(AL$32*VALORI!$B$3)-(AL$33*VALORI!$B$5),0)</f>
        <v>0</v>
      </c>
      <c r="AM52" s="28">
        <f>IF(AM17&gt;0, AM17-(AM$30*VALORI!$B$4)-(AM$31*VALORI!$B$4)-(AM$32*VALORI!$B$3)-(AM$33*VALORI!$B$5),0)</f>
        <v>0</v>
      </c>
      <c r="AN52" s="28">
        <f>IF(AN17&gt;0, AN17-(AN$30*VALORI!$B$4)-(AN$31*VALORI!$B$4)-(AN$32*VALORI!$B$3)-(AN$33*VALORI!$B$5),0)</f>
        <v>0</v>
      </c>
      <c r="AO52" s="28">
        <f>IF(AO17&gt;0, AO17-(AO$30*VALORI!$B$4)-(AO$31*VALORI!$B$4)-(AO$32*VALORI!$B$3)-(AO$33*VALORI!$B$5),0)</f>
        <v>0</v>
      </c>
      <c r="AP52" s="28">
        <f>IF(AP17&gt;0, AP17-(AP$30*VALORI!$B$4)-(AP$31*VALORI!$B$4)-(AP$32*VALORI!$B$3)-(AP$33*VALORI!$B$5),0)</f>
        <v>0</v>
      </c>
      <c r="AQ52" s="28">
        <f>IF(AQ17&gt;0, AQ17-(AQ$30*VALORI!$B$4)-(AQ$31*VALORI!$B$4)-(AQ$32*VALORI!$B$3)-(AQ$33*VALORI!$B$5),0)</f>
        <v>0</v>
      </c>
    </row>
    <row r="53" spans="15:43" ht="15.75" x14ac:dyDescent="0.25">
      <c r="O53" s="25">
        <v>0</v>
      </c>
      <c r="P53" s="25">
        <f t="shared" si="10"/>
        <v>0</v>
      </c>
      <c r="Q53" s="25">
        <f t="shared" si="8"/>
        <v>0</v>
      </c>
      <c r="R53" s="25">
        <f t="shared" si="9"/>
        <v>0</v>
      </c>
      <c r="W53" s="28">
        <f>IF(W18&gt;0, W18-(W$30*VALORI!$B$4)-(W$31*VALORI!$B$4)-(W$32*VALORI!$B$3)-(W$33*VALORI!$B$5),0)</f>
        <v>0</v>
      </c>
      <c r="X53" s="28">
        <f>IF(X18&gt;0, X18-(X$30*VALORI!$B$4)-(X$31*VALORI!$B$4)-(X$32*VALORI!$B$3)-(X$33*VALORI!$B$5),0)</f>
        <v>0</v>
      </c>
      <c r="Y53" s="28">
        <f>IF(Y18&gt;0, Y18-(Y$30*VALORI!$B$4)-(Y$31*VALORI!$B$4)-(Y$32*VALORI!$B$3)-(Y$33*VALORI!$B$5),0)</f>
        <v>0</v>
      </c>
      <c r="Z53" s="28">
        <f>IF(Z18&gt;0, Z18-(Z$30*VALORI!$B$4)-(Z$31*VALORI!$B$4)-(Z$32*VALORI!$B$3)-(Z$33*VALORI!$B$5),0)</f>
        <v>0</v>
      </c>
      <c r="AA53" s="28">
        <f>IF(AA18&gt;0, AA18-(AA$30*VALORI!$B$4)-(AA$31*VALORI!$B$4)-(AA$32*VALORI!$B$3)-(AA$33*VALORI!$B$5),0)</f>
        <v>0</v>
      </c>
      <c r="AB53" s="28">
        <f>IF(AB18&gt;0, AB18-(AB$30*VALORI!$B$4)-(AB$31*VALORI!$B$4)-(AB$32*VALORI!$B$3)-(AB$33*VALORI!$B$5),0)</f>
        <v>0</v>
      </c>
      <c r="AC53" s="28">
        <f>IF(AC18&gt;0, AC18-(AC$30*VALORI!$B$4)-(AC$31*VALORI!$B$4)-(AC$32*VALORI!$B$3)-(AC$33*VALORI!$B$5),0)</f>
        <v>0</v>
      </c>
      <c r="AD53" s="28">
        <f>IF(AD18&gt;0, AD18-(AD$30*VALORI!$B$4)-(AD$31*VALORI!$B$4)-(AD$32*VALORI!$B$3)-(AD$33*VALORI!$B$5),0)</f>
        <v>0</v>
      </c>
      <c r="AE53" s="28">
        <f>IF(AE18&gt;0, AE18-(AE$30*VALORI!$B$4)-(AE$31*VALORI!$B$4)-(AE$32*VALORI!$B$3)-(AE$33*VALORI!$B$5),0)</f>
        <v>0</v>
      </c>
      <c r="AF53" s="28">
        <f>IF(AF18&gt;0, AF18-(AF$30*VALORI!$B$4)-(AF$31*VALORI!$B$4)-(AF$32*VALORI!$B$3)-(AF$33*VALORI!$B$5),0)</f>
        <v>0</v>
      </c>
      <c r="AG53" s="28">
        <f>IF(AG18&gt;0, AG18-(AG$30*VALORI!$B$4)-(AG$31*VALORI!$B$4)-(AG$32*VALORI!$B$3)-(AG$33*VALORI!$B$5),0)</f>
        <v>0</v>
      </c>
      <c r="AH53" s="28">
        <f>IF(AH18&gt;0, AH18-(AH$30*VALORI!$B$4)-(AH$31*VALORI!$B$4)-(AH$32*VALORI!$B$3)-(AH$33*VALORI!$B$5),0)</f>
        <v>0</v>
      </c>
      <c r="AI53" s="28">
        <f>IF(AI18&gt;0, AI18-(AI$30*VALORI!$B$4)-(AI$31*VALORI!$B$4)-(AI$32*VALORI!$B$3)-(AI$33*VALORI!$B$5),0)</f>
        <v>0</v>
      </c>
      <c r="AJ53" s="28">
        <f>IF(AJ18&gt;0, AJ18-(AJ$30*VALORI!$B$4)-(AJ$31*VALORI!$B$4)-(AJ$32*VALORI!$B$3)-(AJ$33*VALORI!$B$5),0)</f>
        <v>0</v>
      </c>
      <c r="AK53" s="28">
        <f>IF(AK18&gt;0, AK18-(AK$30*VALORI!$B$4)-(AK$31*VALORI!$B$4)-(AK$32*VALORI!$B$3)-(AK$33*VALORI!$B$5),0)</f>
        <v>0</v>
      </c>
      <c r="AL53" s="28">
        <f>IF(AL18&gt;0, AL18-(AL$30*VALORI!$B$4)-(AL$31*VALORI!$B$4)-(AL$32*VALORI!$B$3)-(AL$33*VALORI!$B$5),0)</f>
        <v>0</v>
      </c>
      <c r="AM53" s="28">
        <f>IF(AM18&gt;0, AM18-(AM$30*VALORI!$B$4)-(AM$31*VALORI!$B$4)-(AM$32*VALORI!$B$3)-(AM$33*VALORI!$B$5),0)</f>
        <v>0</v>
      </c>
      <c r="AN53" s="28">
        <f>IF(AN18&gt;0, AN18-(AN$30*VALORI!$B$4)-(AN$31*VALORI!$B$4)-(AN$32*VALORI!$B$3)-(AN$33*VALORI!$B$5),0)</f>
        <v>0</v>
      </c>
      <c r="AO53" s="28">
        <f>IF(AO18&gt;0, AO18-(AO$30*VALORI!$B$4)-(AO$31*VALORI!$B$4)-(AO$32*VALORI!$B$3)-(AO$33*VALORI!$B$5),0)</f>
        <v>0</v>
      </c>
      <c r="AP53" s="28">
        <f>IF(AP18&gt;0, AP18-(AP$30*VALORI!$B$4)-(AP$31*VALORI!$B$4)-(AP$32*VALORI!$B$3)-(AP$33*VALORI!$B$5),0)</f>
        <v>0</v>
      </c>
      <c r="AQ53" s="28">
        <f>IF(AQ18&gt;0, AQ18-(AQ$30*VALORI!$B$4)-(AQ$31*VALORI!$B$4)-(AQ$32*VALORI!$B$3)-(AQ$33*VALORI!$B$5),0)</f>
        <v>0</v>
      </c>
    </row>
    <row r="54" spans="15:43" ht="15.75" x14ac:dyDescent="0.25">
      <c r="W54" s="28">
        <f>IF(W19&gt;0, W19-(W$30*VALORI!$B$4)-(W$31*VALORI!$B$4)-(W$32*VALORI!$B$3)-(W$33*VALORI!$B$5),0)</f>
        <v>0</v>
      </c>
      <c r="X54" s="28">
        <f>IF(X19&gt;0, X19-(X$30*VALORI!$B$4)-(X$31*VALORI!$B$4)-(X$32*VALORI!$B$3)-(X$33*VALORI!$B$5),0)</f>
        <v>0</v>
      </c>
      <c r="Y54" s="28">
        <f>IF(Y19&gt;0, Y19-(Y$30*VALORI!$B$4)-(Y$31*VALORI!$B$4)-(Y$32*VALORI!$B$3)-(Y$33*VALORI!$B$5),0)</f>
        <v>0</v>
      </c>
      <c r="Z54" s="28">
        <f>IF(Z19&gt;0, Z19-(Z$30*VALORI!$B$4)-(Z$31*VALORI!$B$4)-(Z$32*VALORI!$B$3)-(Z$33*VALORI!$B$5),0)</f>
        <v>0</v>
      </c>
      <c r="AA54" s="28">
        <f>IF(AA19&gt;0, AA19-(AA$30*VALORI!$B$4)-(AA$31*VALORI!$B$4)-(AA$32*VALORI!$B$3)-(AA$33*VALORI!$B$5),0)</f>
        <v>0</v>
      </c>
      <c r="AB54" s="28">
        <f>IF(AB19&gt;0, AB19-(AB$30*VALORI!$B$4)-(AB$31*VALORI!$B$4)-(AB$32*VALORI!$B$3)-(AB$33*VALORI!$B$5),0)</f>
        <v>0</v>
      </c>
      <c r="AC54" s="28">
        <f>IF(AC19&gt;0, AC19-(AC$30*VALORI!$B$4)-(AC$31*VALORI!$B$4)-(AC$32*VALORI!$B$3)-(AC$33*VALORI!$B$5),0)</f>
        <v>0</v>
      </c>
      <c r="AD54" s="28">
        <f>IF(AD19&gt;0, AD19-(AD$30*VALORI!$B$4)-(AD$31*VALORI!$B$4)-(AD$32*VALORI!$B$3)-(AD$33*VALORI!$B$5),0)</f>
        <v>0</v>
      </c>
      <c r="AE54" s="28">
        <f>IF(AE19&gt;0, AE19-(AE$30*VALORI!$B$4)-(AE$31*VALORI!$B$4)-(AE$32*VALORI!$B$3)-(AE$33*VALORI!$B$5),0)</f>
        <v>0</v>
      </c>
      <c r="AF54" s="28">
        <f>IF(AF19&gt;0, AF19-(AF$30*VALORI!$B$4)-(AF$31*VALORI!$B$4)-(AF$32*VALORI!$B$3)-(AF$33*VALORI!$B$5),0)</f>
        <v>0</v>
      </c>
      <c r="AG54" s="28">
        <f>IF(AG19&gt;0, AG19-(AG$30*VALORI!$B$4)-(AG$31*VALORI!$B$4)-(AG$32*VALORI!$B$3)-(AG$33*VALORI!$B$5),0)</f>
        <v>0</v>
      </c>
      <c r="AH54" s="28">
        <f>IF(AH19&gt;0, AH19-(AH$30*VALORI!$B$4)-(AH$31*VALORI!$B$4)-(AH$32*VALORI!$B$3)-(AH$33*VALORI!$B$5),0)</f>
        <v>0</v>
      </c>
      <c r="AI54" s="28">
        <f>IF(AI19&gt;0, AI19-(AI$30*VALORI!$B$4)-(AI$31*VALORI!$B$4)-(AI$32*VALORI!$B$3)-(AI$33*VALORI!$B$5),0)</f>
        <v>0</v>
      </c>
      <c r="AJ54" s="28">
        <f>IF(AJ19&gt;0, AJ19-(AJ$30*VALORI!$B$4)-(AJ$31*VALORI!$B$4)-(AJ$32*VALORI!$B$3)-(AJ$33*VALORI!$B$5),0)</f>
        <v>0</v>
      </c>
      <c r="AK54" s="28">
        <f>IF(AK19&gt;0, AK19-(AK$30*VALORI!$B$4)-(AK$31*VALORI!$B$4)-(AK$32*VALORI!$B$3)-(AK$33*VALORI!$B$5),0)</f>
        <v>0</v>
      </c>
      <c r="AL54" s="28">
        <f>IF(AL19&gt;0, AL19-(AL$30*VALORI!$B$4)-(AL$31*VALORI!$B$4)-(AL$32*VALORI!$B$3)-(AL$33*VALORI!$B$5),0)</f>
        <v>0</v>
      </c>
      <c r="AM54" s="28">
        <f>IF(AM19&gt;0, AM19-(AM$30*VALORI!$B$4)-(AM$31*VALORI!$B$4)-(AM$32*VALORI!$B$3)-(AM$33*VALORI!$B$5),0)</f>
        <v>0</v>
      </c>
      <c r="AN54" s="28">
        <f>IF(AN19&gt;0, AN19-(AN$30*VALORI!$B$4)-(AN$31*VALORI!$B$4)-(AN$32*VALORI!$B$3)-(AN$33*VALORI!$B$5),0)</f>
        <v>0</v>
      </c>
      <c r="AO54" s="28">
        <f>IF(AO19&gt;0, AO19-(AO$30*VALORI!$B$4)-(AO$31*VALORI!$B$4)-(AO$32*VALORI!$B$3)-(AO$33*VALORI!$B$5),0)</f>
        <v>0</v>
      </c>
      <c r="AP54" s="28">
        <f>IF(AP19&gt;0, AP19-(AP$30*VALORI!$B$4)-(AP$31*VALORI!$B$4)-(AP$32*VALORI!$B$3)-(AP$33*VALORI!$B$5),0)</f>
        <v>0</v>
      </c>
      <c r="AQ54" s="28">
        <f>IF(AQ19&gt;0, AQ19-(AQ$30*VALORI!$B$4)-(AQ$31*VALORI!$B$4)-(AQ$32*VALORI!$B$3)-(AQ$33*VALORI!$B$5),0)</f>
        <v>0</v>
      </c>
    </row>
    <row r="55" spans="15:43" x14ac:dyDescent="0.25">
      <c r="AN55"/>
      <c r="AO55"/>
    </row>
    <row r="56" spans="15:43" ht="79.150000000000006" customHeight="1" x14ac:dyDescent="0.25">
      <c r="AN56"/>
      <c r="AO56"/>
    </row>
    <row r="57" spans="15:43" ht="42" x14ac:dyDescent="0.25">
      <c r="W57" s="94" t="s">
        <v>340</v>
      </c>
      <c r="X57" s="94" t="s">
        <v>340</v>
      </c>
      <c r="Y57" s="94" t="s">
        <v>340</v>
      </c>
      <c r="Z57" s="94" t="s">
        <v>340</v>
      </c>
      <c r="AA57" s="94" t="s">
        <v>340</v>
      </c>
      <c r="AB57" s="94" t="s">
        <v>340</v>
      </c>
      <c r="AC57" s="94" t="s">
        <v>340</v>
      </c>
      <c r="AD57" s="94" t="s">
        <v>340</v>
      </c>
      <c r="AE57" s="94" t="s">
        <v>340</v>
      </c>
      <c r="AF57" s="94" t="s">
        <v>340</v>
      </c>
      <c r="AG57" s="94" t="s">
        <v>340</v>
      </c>
      <c r="AH57" s="94" t="s">
        <v>340</v>
      </c>
      <c r="AI57" s="94" t="s">
        <v>340</v>
      </c>
      <c r="AJ57" s="94" t="s">
        <v>340</v>
      </c>
      <c r="AK57" s="94" t="s">
        <v>340</v>
      </c>
      <c r="AL57" s="94" t="s">
        <v>340</v>
      </c>
      <c r="AM57" s="94" t="s">
        <v>340</v>
      </c>
      <c r="AN57" s="94" t="s">
        <v>340</v>
      </c>
      <c r="AO57" s="94" t="s">
        <v>340</v>
      </c>
      <c r="AP57" s="94" t="s">
        <v>340</v>
      </c>
      <c r="AQ57" s="94" t="s">
        <v>340</v>
      </c>
    </row>
    <row r="58" spans="15:43" ht="15.75" x14ac:dyDescent="0.25">
      <c r="W58" s="28">
        <f>IF(W3&gt;0, (W$30*VALORI!$B$4)+(W$31*VALORI!$B$4)+(W$32*VALORI!$B$3)+(W$33*VALORI!$B$5),0)</f>
        <v>0</v>
      </c>
      <c r="X58" s="28">
        <f>IF(X3&gt;0, (X$30*VALORI!$B$4)+(X$31*VALORI!$B$4)+(X$32*VALORI!$B$3)+(X$33*VALORI!$B$5),0)</f>
        <v>0</v>
      </c>
      <c r="Y58" s="28">
        <f>IF(Y3&gt;0, (Y$30*VALORI!$B$4)+(Y$31*VALORI!$B$4)+(Y$32*VALORI!$B$3)+(Y$33*VALORI!$B$5),0)</f>
        <v>0</v>
      </c>
      <c r="Z58" s="28">
        <f>IF(Z3&gt;0, (Z$30*VALORI!$B$4)+(Z$31*VALORI!$B$4)+(Z$32*VALORI!$B$3)+(Z$33*VALORI!$B$5),0)</f>
        <v>0</v>
      </c>
      <c r="AA58" s="28">
        <f>IF(AA3&gt;0, (AA$30*VALORI!$B$4)+(AA$31*VALORI!$B$4)+(AA$32*VALORI!$B$3)+(AA$33*VALORI!$B$5),0)</f>
        <v>0</v>
      </c>
      <c r="AB58" s="28">
        <f>IF(AB3&gt;0, (AB$30*VALORI!$B$4)+(AB$31*VALORI!$B$4)+(AB$32*VALORI!$B$3)+(AB$33*VALORI!$B$5),0)</f>
        <v>0</v>
      </c>
      <c r="AC58" s="28">
        <f>IF(AC3&gt;0, (AC$30*VALORI!$B$4)+(AC$31*VALORI!$B$4)+(AC$32*VALORI!$B$3)+(AC$33*VALORI!$B$5),0)</f>
        <v>0</v>
      </c>
      <c r="AD58" s="28">
        <f>IF(AD3&gt;0, (AD$30*VALORI!$B$4)+(AD$31*VALORI!$B$4)+(AD$32*VALORI!$B$3)+(AD$33*VALORI!$B$5),0)</f>
        <v>0</v>
      </c>
      <c r="AE58" s="28">
        <f>IF(AE3&gt;0, (AE$30*VALORI!$B$4)+(AE$31*VALORI!$B$4)+(AE$32*VALORI!$B$3)+(AE$33*VALORI!$B$5),0)</f>
        <v>0</v>
      </c>
      <c r="AF58" s="28">
        <f>IF(AF3&gt;0, (AF$30*VALORI!$B$4)+(AF$31*VALORI!$B$4)+(AF$32*VALORI!$B$3)+(AF$33*VALORI!$B$5),0)</f>
        <v>0</v>
      </c>
      <c r="AG58" s="28">
        <f>IF(AG3&gt;0, (AG$30*VALORI!$B$4)+(AG$31*VALORI!$B$4)+(AG$32*VALORI!$B$3)+(AG$33*VALORI!$B$5),0)</f>
        <v>0</v>
      </c>
      <c r="AH58" s="28">
        <f>IF(AH3&gt;0, (AH$30*VALORI!$B$4)+(AH$31*VALORI!$B$4)+(AH$32*VALORI!$B$3)+(AH$33*VALORI!$B$5),0)</f>
        <v>0</v>
      </c>
      <c r="AI58" s="28">
        <f>IF(AI3&gt;0, (AI$30*VALORI!$B$4)+(AI$31*VALORI!$B$4)+(AI$32*VALORI!$B$3)+(AI$33*VALORI!$B$5),0)</f>
        <v>0</v>
      </c>
      <c r="AJ58" s="28">
        <f>IF(AJ3&gt;0, (AJ$30*VALORI!$B$4)+(AJ$31*VALORI!$B$4)+(AJ$32*VALORI!$B$3)+(AJ$33*VALORI!$B$5),0)</f>
        <v>0</v>
      </c>
      <c r="AK58" s="28">
        <f>IF(AK3&gt;0, (AK$30*VALORI!$B$4)+(AK$31*VALORI!$B$4)+(AK$32*VALORI!$B$3)+(AK$33*VALORI!$B$5),0)</f>
        <v>0</v>
      </c>
      <c r="AL58" s="28">
        <f>IF(AL3&gt;0, (AL$30*VALORI!$B$4)+(AL$31*VALORI!$B$4)+(AL$32*VALORI!$B$3)+(AL$33*VALORI!$B$5),0)</f>
        <v>0</v>
      </c>
      <c r="AM58" s="28">
        <f>IF(AM3&gt;0, (AM$30*VALORI!$B$4)+(AM$31*VALORI!$B$4)+(AM$32*VALORI!$B$3)+(AM$33*VALORI!$B$5),0)</f>
        <v>0</v>
      </c>
      <c r="AN58" s="28">
        <f>IF(AN3&gt;0, (AN$30*VALORI!$B$4)+(AN$31*VALORI!$B$4)+(AN$32*VALORI!$B$3)+(AN$33*VALORI!$B$5),0)</f>
        <v>0</v>
      </c>
      <c r="AO58" s="28">
        <f>IF(AO3&gt;0, (AO$30*VALORI!$B$4)+(AO$31*VALORI!$B$4)+(AO$32*VALORI!$B$3)+(AO$33*VALORI!$B$5),0)</f>
        <v>0</v>
      </c>
      <c r="AP58" s="28">
        <f>IF(AP3&gt;0, (AP$30*VALORI!$B$4)+(AP$31*VALORI!$B$4)+(AP$32*VALORI!$B$3)+(AP$33*VALORI!$B$5),0)</f>
        <v>0</v>
      </c>
      <c r="AQ58" s="28">
        <f>IF(AQ3&gt;0, (AQ$30*VALORI!$B$4)+(AQ$31*VALORI!$B$4)+(AQ$32*VALORI!$B$3)+(AQ$33*VALORI!$B$5),0)</f>
        <v>0</v>
      </c>
    </row>
    <row r="59" spans="15:43" ht="15.75" x14ac:dyDescent="0.25">
      <c r="W59" s="28">
        <f>IF(W4&gt;0, (W$30*VALORI!$B$4)+(W$31*VALORI!$B$4)+(W$32*VALORI!$B$3)+(W$33*VALORI!$B$5),0)</f>
        <v>0</v>
      </c>
      <c r="X59" s="28">
        <f>IF(X4&gt;0, (X$30*VALORI!$B$4)+(X$31*VALORI!$B$4)+(X$32*VALORI!$B$3)+(X$33*VALORI!$B$5),0)</f>
        <v>0</v>
      </c>
      <c r="Y59" s="28">
        <f>IF(Y4&gt;0, (Y$30*VALORI!$B$4)+(Y$31*VALORI!$B$4)+(Y$32*VALORI!$B$3)+(Y$33*VALORI!$B$5),0)</f>
        <v>0</v>
      </c>
      <c r="Z59" s="28">
        <f>IF(Z4&gt;0, (Z$30*VALORI!$B$4)+(Z$31*VALORI!$B$4)+(Z$32*VALORI!$B$3)+(Z$33*VALORI!$B$5),0)</f>
        <v>0</v>
      </c>
      <c r="AA59" s="28">
        <f>IF(AA4&gt;0, (AA$30*VALORI!$B$4)+(AA$31*VALORI!$B$4)+(AA$32*VALORI!$B$3)+(AA$33*VALORI!$B$5),0)</f>
        <v>0</v>
      </c>
      <c r="AB59" s="28">
        <f>IF(AB4&gt;0, (AB$30*VALORI!$B$4)+(AB$31*VALORI!$B$4)+(AB$32*VALORI!$B$3)+(AB$33*VALORI!$B$5),0)</f>
        <v>0</v>
      </c>
      <c r="AC59" s="28">
        <f>IF(AC4&gt;0, (AC$30*VALORI!$B$4)+(AC$31*VALORI!$B$4)+(AC$32*VALORI!$B$3)+(AC$33*VALORI!$B$5),0)</f>
        <v>0</v>
      </c>
      <c r="AD59" s="28">
        <f>IF(AD4&gt;0, (AD$30*VALORI!$B$4)+(AD$31*VALORI!$B$4)+(AD$32*VALORI!$B$3)+(AD$33*VALORI!$B$5),0)</f>
        <v>0</v>
      </c>
      <c r="AE59" s="28">
        <f>IF(AE4&gt;0, (AE$30*VALORI!$B$4)+(AE$31*VALORI!$B$4)+(AE$32*VALORI!$B$3)+(AE$33*VALORI!$B$5),0)</f>
        <v>0</v>
      </c>
      <c r="AF59" s="28">
        <f>IF(AF4&gt;0, (AF$30*VALORI!$B$4)+(AF$31*VALORI!$B$4)+(AF$32*VALORI!$B$3)+(AF$33*VALORI!$B$5),0)</f>
        <v>0</v>
      </c>
      <c r="AG59" s="28">
        <f>IF(AG4&gt;0, (AG$30*VALORI!$B$4)+(AG$31*VALORI!$B$4)+(AG$32*VALORI!$B$3)+(AG$33*VALORI!$B$5),0)</f>
        <v>0</v>
      </c>
      <c r="AH59" s="28">
        <f>IF(AH4&gt;0, (AH$30*VALORI!$B$4)+(AH$31*VALORI!$B$4)+(AH$32*VALORI!$B$3)+(AH$33*VALORI!$B$5),0)</f>
        <v>0</v>
      </c>
      <c r="AI59" s="28">
        <f>IF(AI4&gt;0, (AI$30*VALORI!$B$4)+(AI$31*VALORI!$B$4)+(AI$32*VALORI!$B$3)+(AI$33*VALORI!$B$5),0)</f>
        <v>0</v>
      </c>
      <c r="AJ59" s="28">
        <f>IF(AJ4&gt;0, (AJ$30*VALORI!$B$4)+(AJ$31*VALORI!$B$4)+(AJ$32*VALORI!$B$3)+(AJ$33*VALORI!$B$5),0)</f>
        <v>0</v>
      </c>
      <c r="AK59" s="28">
        <f>IF(AK4&gt;0, (AK$30*VALORI!$B$4)+(AK$31*VALORI!$B$4)+(AK$32*VALORI!$B$3)+(AK$33*VALORI!$B$5),0)</f>
        <v>0</v>
      </c>
      <c r="AL59" s="28">
        <f>IF(AL4&gt;0, (AL$30*VALORI!$B$4)+(AL$31*VALORI!$B$4)+(AL$32*VALORI!$B$3)+(AL$33*VALORI!$B$5),0)</f>
        <v>0</v>
      </c>
      <c r="AM59" s="28">
        <f>IF(AM4&gt;0, (AM$30*VALORI!$B$4)+(AM$31*VALORI!$B$4)+(AM$32*VALORI!$B$3)+(AM$33*VALORI!$B$5),0)</f>
        <v>0</v>
      </c>
      <c r="AN59" s="28">
        <f>IF(AN4&gt;0, (AN$30*VALORI!$B$4)+(AN$31*VALORI!$B$4)+(AN$32*VALORI!$B$3)+(AN$33*VALORI!$B$5),0)</f>
        <v>0</v>
      </c>
      <c r="AO59" s="28">
        <f>IF(AO4&gt;0, (AO$30*VALORI!$B$4)+(AO$31*VALORI!$B$4)+(AO$32*VALORI!$B$3)+(AO$33*VALORI!$B$5),0)</f>
        <v>0</v>
      </c>
      <c r="AP59" s="28">
        <f>IF(AP4&gt;0, (AP$30*VALORI!$B$4)+(AP$31*VALORI!$B$4)+(AP$32*VALORI!$B$3)+(AP$33*VALORI!$B$5),0)</f>
        <v>0</v>
      </c>
      <c r="AQ59" s="28">
        <f>IF(AQ4&gt;0, (AQ$30*VALORI!$B$4)+(AQ$31*VALORI!$B$4)+(AQ$32*VALORI!$B$3)+(AQ$33*VALORI!$B$5),0)</f>
        <v>0</v>
      </c>
    </row>
    <row r="60" spans="15:43" ht="15.75" x14ac:dyDescent="0.25">
      <c r="W60" s="28">
        <f>IF(W5&gt;0, (W$30*VALORI!$B$4)+(W$31*VALORI!$B$4)+(W$32*VALORI!$B$3)+(W$33*VALORI!$B$5),0)</f>
        <v>0</v>
      </c>
      <c r="X60" s="28">
        <f>IF(X5&gt;0, (X$30*VALORI!$B$4)+(X$31*VALORI!$B$4)+(X$32*VALORI!$B$3)+(X$33*VALORI!$B$5),0)</f>
        <v>0</v>
      </c>
      <c r="Y60" s="28">
        <f>IF(Y5&gt;0, (Y$30*VALORI!$B$4)+(Y$31*VALORI!$B$4)+(Y$32*VALORI!$B$3)+(Y$33*VALORI!$B$5),0)</f>
        <v>0</v>
      </c>
      <c r="Z60" s="28">
        <f>IF(Z5&gt;0, (Z$30*VALORI!$B$4)+(Z$31*VALORI!$B$4)+(Z$32*VALORI!$B$3)+(Z$33*VALORI!$B$5),0)</f>
        <v>0</v>
      </c>
      <c r="AA60" s="28">
        <f>IF(AA5&gt;0, (AA$30*VALORI!$B$4)+(AA$31*VALORI!$B$4)+(AA$32*VALORI!$B$3)+(AA$33*VALORI!$B$5),0)</f>
        <v>0</v>
      </c>
      <c r="AB60" s="28">
        <f>IF(AB5&gt;0, (AB$30*VALORI!$B$4)+(AB$31*VALORI!$B$4)+(AB$32*VALORI!$B$3)+(AB$33*VALORI!$B$5),0)</f>
        <v>0</v>
      </c>
      <c r="AC60" s="28">
        <f>IF(AC5&gt;0, (AC$30*VALORI!$B$4)+(AC$31*VALORI!$B$4)+(AC$32*VALORI!$B$3)+(AC$33*VALORI!$B$5),0)</f>
        <v>0</v>
      </c>
      <c r="AD60" s="28">
        <f>IF(AD5&gt;0, (AD$30*VALORI!$B$4)+(AD$31*VALORI!$B$4)+(AD$32*VALORI!$B$3)+(AD$33*VALORI!$B$5),0)</f>
        <v>0</v>
      </c>
      <c r="AE60" s="28">
        <f>IF(AE5&gt;0, (AE$30*VALORI!$B$4)+(AE$31*VALORI!$B$4)+(AE$32*VALORI!$B$3)+(AE$33*VALORI!$B$5),0)</f>
        <v>0</v>
      </c>
      <c r="AF60" s="28">
        <f>IF(AF5&gt;0, (AF$30*VALORI!$B$4)+(AF$31*VALORI!$B$4)+(AF$32*VALORI!$B$3)+(AF$33*VALORI!$B$5),0)</f>
        <v>0</v>
      </c>
      <c r="AG60" s="28">
        <f>IF(AG5&gt;0, (AG$30*VALORI!$B$4)+(AG$31*VALORI!$B$4)+(AG$32*VALORI!$B$3)+(AG$33*VALORI!$B$5),0)</f>
        <v>0</v>
      </c>
      <c r="AH60" s="28">
        <f>IF(AH5&gt;0, (AH$30*VALORI!$B$4)+(AH$31*VALORI!$B$4)+(AH$32*VALORI!$B$3)+(AH$33*VALORI!$B$5),0)</f>
        <v>0</v>
      </c>
      <c r="AI60" s="28">
        <f>IF(AI5&gt;0, (AI$30*VALORI!$B$4)+(AI$31*VALORI!$B$4)+(AI$32*VALORI!$B$3)+(AI$33*VALORI!$B$5),0)</f>
        <v>0</v>
      </c>
      <c r="AJ60" s="28">
        <f>IF(AJ5&gt;0, (AJ$30*VALORI!$B$4)+(AJ$31*VALORI!$B$4)+(AJ$32*VALORI!$B$3)+(AJ$33*VALORI!$B$5),0)</f>
        <v>0</v>
      </c>
      <c r="AK60" s="28">
        <f>IF(AK5&gt;0, (AK$30*VALORI!$B$4)+(AK$31*VALORI!$B$4)+(AK$32*VALORI!$B$3)+(AK$33*VALORI!$B$5),0)</f>
        <v>0</v>
      </c>
      <c r="AL60" s="28">
        <f>IF(AL5&gt;0, (AL$30*VALORI!$B$4)+(AL$31*VALORI!$B$4)+(AL$32*VALORI!$B$3)+(AL$33*VALORI!$B$5),0)</f>
        <v>0</v>
      </c>
      <c r="AM60" s="28">
        <f>IF(AM5&gt;0, (AM$30*VALORI!$B$4)+(AM$31*VALORI!$B$4)+(AM$32*VALORI!$B$3)+(AM$33*VALORI!$B$5),0)</f>
        <v>0</v>
      </c>
      <c r="AN60" s="28">
        <f>IF(AN5&gt;0, (AN$30*VALORI!$B$4)+(AN$31*VALORI!$B$4)+(AN$32*VALORI!$B$3)+(AN$33*VALORI!$B$5),0)</f>
        <v>0</v>
      </c>
      <c r="AO60" s="28">
        <f>IF(AO5&gt;0, (AO$30*VALORI!$B$4)+(AO$31*VALORI!$B$4)+(AO$32*VALORI!$B$3)+(AO$33*VALORI!$B$5),0)</f>
        <v>0</v>
      </c>
      <c r="AP60" s="28">
        <f>IF(AP5&gt;0, (AP$30*VALORI!$B$4)+(AP$31*VALORI!$B$4)+(AP$32*VALORI!$B$3)+(AP$33*VALORI!$B$5),0)</f>
        <v>0</v>
      </c>
      <c r="AQ60" s="28">
        <f>IF(AQ5&gt;0, (AQ$30*VALORI!$B$4)+(AQ$31*VALORI!$B$4)+(AQ$32*VALORI!$B$3)+(AQ$33*VALORI!$B$5),0)</f>
        <v>0</v>
      </c>
    </row>
    <row r="61" spans="15:43" ht="15.75" x14ac:dyDescent="0.25">
      <c r="W61" s="28">
        <f>IF(W6&gt;0, (W$30*VALORI!$B$4)+(W$31*VALORI!$B$4)+(W$32*VALORI!$B$3)+(W$33*VALORI!$B$5),0)</f>
        <v>0</v>
      </c>
      <c r="X61" s="28">
        <f>IF(X6&gt;0, (X$30*VALORI!$B$4)+(X$31*VALORI!$B$4)+(X$32*VALORI!$B$3)+(X$33*VALORI!$B$5),0)</f>
        <v>0</v>
      </c>
      <c r="Y61" s="28">
        <f>IF(Y6&gt;0, (Y$30*VALORI!$B$4)+(Y$31*VALORI!$B$4)+(Y$32*VALORI!$B$3)+(Y$33*VALORI!$B$5),0)</f>
        <v>0</v>
      </c>
      <c r="Z61" s="28">
        <f>IF(Z6&gt;0, (Z$30*VALORI!$B$4)+(Z$31*VALORI!$B$4)+(Z$32*VALORI!$B$3)+(Z$33*VALORI!$B$5),0)</f>
        <v>0</v>
      </c>
      <c r="AA61" s="28">
        <f>IF(AA6&gt;0, (AA$30*VALORI!$B$4)+(AA$31*VALORI!$B$4)+(AA$32*VALORI!$B$3)+(AA$33*VALORI!$B$5),0)</f>
        <v>0</v>
      </c>
      <c r="AB61" s="28">
        <f>IF(AB6&gt;0, (AB$30*VALORI!$B$4)+(AB$31*VALORI!$B$4)+(AB$32*VALORI!$B$3)+(AB$33*VALORI!$B$5),0)</f>
        <v>0</v>
      </c>
      <c r="AC61" s="28">
        <f>IF(AC6&gt;0, (AC$30*VALORI!$B$4)+(AC$31*VALORI!$B$4)+(AC$32*VALORI!$B$3)+(AC$33*VALORI!$B$5),0)</f>
        <v>0</v>
      </c>
      <c r="AD61" s="28">
        <f>IF(AD6&gt;0, (AD$30*VALORI!$B$4)+(AD$31*VALORI!$B$4)+(AD$32*VALORI!$B$3)+(AD$33*VALORI!$B$5),0)</f>
        <v>0</v>
      </c>
      <c r="AE61" s="28">
        <f>IF(AE6&gt;0, (AE$30*VALORI!$B$4)+(AE$31*VALORI!$B$4)+(AE$32*VALORI!$B$3)+(AE$33*VALORI!$B$5),0)</f>
        <v>0</v>
      </c>
      <c r="AF61" s="28">
        <f>IF(AF6&gt;0, (AF$30*VALORI!$B$4)+(AF$31*VALORI!$B$4)+(AF$32*VALORI!$B$3)+(AF$33*VALORI!$B$5),0)</f>
        <v>0</v>
      </c>
      <c r="AG61" s="28">
        <f>IF(AG6&gt;0, (AG$30*VALORI!$B$4)+(AG$31*VALORI!$B$4)+(AG$32*VALORI!$B$3)+(AG$33*VALORI!$B$5),0)</f>
        <v>0</v>
      </c>
      <c r="AH61" s="28">
        <f>IF(AH6&gt;0, (AH$30*VALORI!$B$4)+(AH$31*VALORI!$B$4)+(AH$32*VALORI!$B$3)+(AH$33*VALORI!$B$5),0)</f>
        <v>0</v>
      </c>
      <c r="AI61" s="28">
        <f>IF(AI6&gt;0, (AI$30*VALORI!$B$4)+(AI$31*VALORI!$B$4)+(AI$32*VALORI!$B$3)+(AI$33*VALORI!$B$5),0)</f>
        <v>0</v>
      </c>
      <c r="AJ61" s="28">
        <f>IF(AJ6&gt;0, (AJ$30*VALORI!$B$4)+(AJ$31*VALORI!$B$4)+(AJ$32*VALORI!$B$3)+(AJ$33*VALORI!$B$5),0)</f>
        <v>0</v>
      </c>
      <c r="AK61" s="28">
        <f>IF(AK6&gt;0, (AK$30*VALORI!$B$4)+(AK$31*VALORI!$B$4)+(AK$32*VALORI!$B$3)+(AK$33*VALORI!$B$5),0)</f>
        <v>0</v>
      </c>
      <c r="AL61" s="28">
        <f>IF(AL6&gt;0, (AL$30*VALORI!$B$4)+(AL$31*VALORI!$B$4)+(AL$32*VALORI!$B$3)+(AL$33*VALORI!$B$5),0)</f>
        <v>0</v>
      </c>
      <c r="AM61" s="28">
        <f>IF(AM6&gt;0, (AM$30*VALORI!$B$4)+(AM$31*VALORI!$B$4)+(AM$32*VALORI!$B$3)+(AM$33*VALORI!$B$5),0)</f>
        <v>0</v>
      </c>
      <c r="AN61" s="28">
        <f>IF(AN6&gt;0, (AN$30*VALORI!$B$4)+(AN$31*VALORI!$B$4)+(AN$32*VALORI!$B$3)+(AN$33*VALORI!$B$5),0)</f>
        <v>0</v>
      </c>
      <c r="AO61" s="28">
        <f>IF(AO6&gt;0, (AO$30*VALORI!$B$4)+(AO$31*VALORI!$B$4)+(AO$32*VALORI!$B$3)+(AO$33*VALORI!$B$5),0)</f>
        <v>0</v>
      </c>
      <c r="AP61" s="28">
        <f>IF(AP6&gt;0, (AP$30*VALORI!$B$4)+(AP$31*VALORI!$B$4)+(AP$32*VALORI!$B$3)+(AP$33*VALORI!$B$5),0)</f>
        <v>0</v>
      </c>
      <c r="AQ61" s="28">
        <f>IF(AQ6&gt;0, (AQ$30*VALORI!$B$4)+(AQ$31*VALORI!$B$4)+(AQ$32*VALORI!$B$3)+(AQ$33*VALORI!$B$5),0)</f>
        <v>0</v>
      </c>
    </row>
    <row r="62" spans="15:43" ht="15.75" x14ac:dyDescent="0.25">
      <c r="W62" s="28">
        <f>IF(W7&gt;0, (W$30*VALORI!$B$4)+(W$31*VALORI!$B$4)+(W$32*VALORI!$B$3)+(W$33*VALORI!$B$5),0)</f>
        <v>1240</v>
      </c>
      <c r="X62" s="28">
        <f>IF(X7&gt;0, (X$30*VALORI!$B$4)+(X$31*VALORI!$B$4)+(X$32*VALORI!$B$3)+(X$33*VALORI!$B$5),0)</f>
        <v>3720</v>
      </c>
      <c r="Y62" s="28">
        <f>IF(Y7&gt;0, (Y$30*VALORI!$B$4)+(Y$31*VALORI!$B$4)+(Y$32*VALORI!$B$3)+(Y$33*VALORI!$B$5),0)</f>
        <v>992</v>
      </c>
      <c r="Z62" s="28">
        <f>IF(Z7&gt;0, (Z$30*VALORI!$B$4)+(Z$31*VALORI!$B$4)+(Z$32*VALORI!$B$3)+(Z$33*VALORI!$B$5),0)</f>
        <v>992</v>
      </c>
      <c r="AA62" s="28">
        <f>IF(AA7&gt;0, (AA$30*VALORI!$B$4)+(AA$31*VALORI!$B$4)+(AA$32*VALORI!$B$3)+(AA$33*VALORI!$B$5),0)</f>
        <v>876</v>
      </c>
      <c r="AB62" s="28">
        <f>IF(AB7&gt;0, (AB$30*VALORI!$B$4)+(AB$31*VALORI!$B$4)+(AB$32*VALORI!$B$3)+(AB$33*VALORI!$B$5),0)</f>
        <v>103</v>
      </c>
      <c r="AC62" s="28">
        <f>IF(AC7&gt;0, (AC$30*VALORI!$B$4)+(AC$31*VALORI!$B$4)+(AC$32*VALORI!$B$3)+(AC$33*VALORI!$B$5),0)</f>
        <v>794</v>
      </c>
      <c r="AD62" s="28">
        <f>IF(AD7&gt;0, (AD$30*VALORI!$B$4)+(AD$31*VALORI!$B$4)+(AD$32*VALORI!$B$3)+(AD$33*VALORI!$B$5),0)</f>
        <v>2354</v>
      </c>
      <c r="AE62" s="28">
        <f>IF(AE7&gt;0, (AE$30*VALORI!$B$4)+(AE$31*VALORI!$B$4)+(AE$32*VALORI!$B$3)+(AE$33*VALORI!$B$5),0)</f>
        <v>1268</v>
      </c>
      <c r="AF62" s="28">
        <f>IF(AF7&gt;0, (AF$30*VALORI!$B$4)+(AF$31*VALORI!$B$4)+(AF$32*VALORI!$B$3)+(AF$33*VALORI!$B$5),0)</f>
        <v>1123</v>
      </c>
      <c r="AG62" s="28">
        <f>IF(AG7&gt;0, (AG$30*VALORI!$B$4)+(AG$31*VALORI!$B$4)+(AG$32*VALORI!$B$3)+(AG$33*VALORI!$B$5),0)</f>
        <v>1123</v>
      </c>
      <c r="AH62" s="28">
        <f>IF(AH7&gt;0, (AH$30*VALORI!$B$4)+(AH$31*VALORI!$B$4)+(AH$32*VALORI!$B$3)+(AH$33*VALORI!$B$5),0)</f>
        <v>148</v>
      </c>
      <c r="AI62" s="28">
        <f>IF(AI7&gt;0, (AI$30*VALORI!$B$4)+(AI$31*VALORI!$B$4)+(AI$32*VALORI!$B$3)+(AI$33*VALORI!$B$5),0)</f>
        <v>1600</v>
      </c>
      <c r="AJ62" s="28">
        <f>IF(AJ7&gt;0, (AJ$30*VALORI!$B$4)+(AJ$31*VALORI!$B$4)+(AJ$32*VALORI!$B$3)+(AJ$33*VALORI!$B$5),0)</f>
        <v>634</v>
      </c>
      <c r="AK62" s="28">
        <f>IF(AK7&gt;0, (AK$30*VALORI!$B$4)+(AK$31*VALORI!$B$4)+(AK$32*VALORI!$B$3)+(AK$33*VALORI!$B$5),0)</f>
        <v>3890</v>
      </c>
      <c r="AL62" s="28">
        <f>IF(AL7&gt;0, (AL$30*VALORI!$B$4)+(AL$31*VALORI!$B$4)+(AL$32*VALORI!$B$3)+(AL$33*VALORI!$B$5),0)</f>
        <v>532</v>
      </c>
      <c r="AM62" s="28">
        <f>IF(AM7&gt;0, (AM$30*VALORI!$B$4)+(AM$31*VALORI!$B$4)+(AM$32*VALORI!$B$3)+(AM$33*VALORI!$B$5),0)</f>
        <v>416</v>
      </c>
      <c r="AN62" s="28">
        <f>IF(AN7&gt;0, (AN$30*VALORI!$B$4)+(AN$31*VALORI!$B$4)+(AN$32*VALORI!$B$3)+(AN$33*VALORI!$B$5),0)</f>
        <v>421</v>
      </c>
      <c r="AO62" s="28">
        <f>IF(AO7&gt;0, (AO$30*VALORI!$B$4)+(AO$31*VALORI!$B$4)+(AO$32*VALORI!$B$3)+(AO$33*VALORI!$B$5),0)</f>
        <v>572</v>
      </c>
      <c r="AP62" s="28">
        <f>IF(AP7&gt;0, (AP$30*VALORI!$B$4)+(AP$31*VALORI!$B$4)+(AP$32*VALORI!$B$3)+(AP$33*VALORI!$B$5),0)</f>
        <v>0</v>
      </c>
      <c r="AQ62" s="28">
        <f>IF(AQ7&gt;0, (AQ$30*VALORI!$B$4)+(AQ$31*VALORI!$B$4)+(AQ$32*VALORI!$B$3)+(AQ$33*VALORI!$B$5),0)</f>
        <v>642</v>
      </c>
    </row>
    <row r="63" spans="15:43" ht="15.75" x14ac:dyDescent="0.25">
      <c r="W63" s="28">
        <f>IF(W8&gt;0, (W$30*VALORI!$B$4)+(W$31*VALORI!$B$4)+(W$32*VALORI!$B$3)+(W$33*VALORI!$B$5),0)</f>
        <v>0</v>
      </c>
      <c r="X63" s="28">
        <f>IF(X8&gt;0, (X$30*VALORI!$B$4)+(X$31*VALORI!$B$4)+(X$32*VALORI!$B$3)+(X$33*VALORI!$B$5),0)</f>
        <v>0</v>
      </c>
      <c r="Y63" s="28">
        <f>IF(Y8&gt;0, (Y$30*VALORI!$B$4)+(Y$31*VALORI!$B$4)+(Y$32*VALORI!$B$3)+(Y$33*VALORI!$B$5),0)</f>
        <v>0</v>
      </c>
      <c r="Z63" s="28">
        <f>IF(Z8&gt;0, (Z$30*VALORI!$B$4)+(Z$31*VALORI!$B$4)+(Z$32*VALORI!$B$3)+(Z$33*VALORI!$B$5),0)</f>
        <v>0</v>
      </c>
      <c r="AA63" s="28">
        <f>IF(AA8&gt;0, (AA$30*VALORI!$B$4)+(AA$31*VALORI!$B$4)+(AA$32*VALORI!$B$3)+(AA$33*VALORI!$B$5),0)</f>
        <v>0</v>
      </c>
      <c r="AB63" s="28">
        <f>IF(AB8&gt;0, (AB$30*VALORI!$B$4)+(AB$31*VALORI!$B$4)+(AB$32*VALORI!$B$3)+(AB$33*VALORI!$B$5),0)</f>
        <v>0</v>
      </c>
      <c r="AC63" s="28">
        <f>IF(AC8&gt;0, (AC$30*VALORI!$B$4)+(AC$31*VALORI!$B$4)+(AC$32*VALORI!$B$3)+(AC$33*VALORI!$B$5),0)</f>
        <v>0</v>
      </c>
      <c r="AD63" s="28">
        <f>IF(AD8&gt;0, (AD$30*VALORI!$B$4)+(AD$31*VALORI!$B$4)+(AD$32*VALORI!$B$3)+(AD$33*VALORI!$B$5),0)</f>
        <v>0</v>
      </c>
      <c r="AE63" s="28">
        <f>IF(AE8&gt;0, (AE$30*VALORI!$B$4)+(AE$31*VALORI!$B$4)+(AE$32*VALORI!$B$3)+(AE$33*VALORI!$B$5),0)</f>
        <v>0</v>
      </c>
      <c r="AF63" s="28">
        <f>IF(AF8&gt;0, (AF$30*VALORI!$B$4)+(AF$31*VALORI!$B$4)+(AF$32*VALORI!$B$3)+(AF$33*VALORI!$B$5),0)</f>
        <v>0</v>
      </c>
      <c r="AG63" s="28">
        <f>IF(AG8&gt;0, (AG$30*VALORI!$B$4)+(AG$31*VALORI!$B$4)+(AG$32*VALORI!$B$3)+(AG$33*VALORI!$B$5),0)</f>
        <v>0</v>
      </c>
      <c r="AH63" s="28">
        <f>IF(AH8&gt;0, (AH$30*VALORI!$B$4)+(AH$31*VALORI!$B$4)+(AH$32*VALORI!$B$3)+(AH$33*VALORI!$B$5),0)</f>
        <v>0</v>
      </c>
      <c r="AI63" s="28">
        <f>IF(AI8&gt;0, (AI$30*VALORI!$B$4)+(AI$31*VALORI!$B$4)+(AI$32*VALORI!$B$3)+(AI$33*VALORI!$B$5),0)</f>
        <v>0</v>
      </c>
      <c r="AJ63" s="28">
        <f>IF(AJ8&gt;0, (AJ$30*VALORI!$B$4)+(AJ$31*VALORI!$B$4)+(AJ$32*VALORI!$B$3)+(AJ$33*VALORI!$B$5),0)</f>
        <v>0</v>
      </c>
      <c r="AK63" s="28">
        <f>IF(AK8&gt;0, (AK$30*VALORI!$B$4)+(AK$31*VALORI!$B$4)+(AK$32*VALORI!$B$3)+(AK$33*VALORI!$B$5),0)</f>
        <v>0</v>
      </c>
      <c r="AL63" s="28">
        <f>IF(AL8&gt;0, (AL$30*VALORI!$B$4)+(AL$31*VALORI!$B$4)+(AL$32*VALORI!$B$3)+(AL$33*VALORI!$B$5),0)</f>
        <v>0</v>
      </c>
      <c r="AM63" s="28">
        <f>IF(AM8&gt;0, (AM$30*VALORI!$B$4)+(AM$31*VALORI!$B$4)+(AM$32*VALORI!$B$3)+(AM$33*VALORI!$B$5),0)</f>
        <v>0</v>
      </c>
      <c r="AN63" s="28">
        <f>IF(AN8&gt;0, (AN$30*VALORI!$B$4)+(AN$31*VALORI!$B$4)+(AN$32*VALORI!$B$3)+(AN$33*VALORI!$B$5),0)</f>
        <v>0</v>
      </c>
      <c r="AO63" s="28">
        <f>IF(AO8&gt;0, (AO$30*VALORI!$B$4)+(AO$31*VALORI!$B$4)+(AO$32*VALORI!$B$3)+(AO$33*VALORI!$B$5),0)</f>
        <v>0</v>
      </c>
      <c r="AP63" s="28">
        <f>IF(AP8&gt;0, (AP$30*VALORI!$B$4)+(AP$31*VALORI!$B$4)+(AP$32*VALORI!$B$3)+(AP$33*VALORI!$B$5),0)</f>
        <v>0</v>
      </c>
      <c r="AQ63" s="28">
        <f>IF(AQ8&gt;0, (AQ$30*VALORI!$B$4)+(AQ$31*VALORI!$B$4)+(AQ$32*VALORI!$B$3)+(AQ$33*VALORI!$B$5),0)</f>
        <v>642</v>
      </c>
    </row>
    <row r="64" spans="15:43" ht="15.75" x14ac:dyDescent="0.25">
      <c r="W64" s="28">
        <f>IF(W9&gt;0, (W$30*VALORI!$B$4)+(W$31*VALORI!$B$4)+(W$32*VALORI!$B$3)+(W$33*VALORI!$B$5),0)</f>
        <v>1240</v>
      </c>
      <c r="X64" s="28">
        <f>IF(X9&gt;0, (X$30*VALORI!$B$4)+(X$31*VALORI!$B$4)+(X$32*VALORI!$B$3)+(X$33*VALORI!$B$5),0)</f>
        <v>3720</v>
      </c>
      <c r="Y64" s="28">
        <f>IF(Y9&gt;0, (Y$30*VALORI!$B$4)+(Y$31*VALORI!$B$4)+(Y$32*VALORI!$B$3)+(Y$33*VALORI!$B$5),0)</f>
        <v>992</v>
      </c>
      <c r="Z64" s="28">
        <f>IF(Z9&gt;0, (Z$30*VALORI!$B$4)+(Z$31*VALORI!$B$4)+(Z$32*VALORI!$B$3)+(Z$33*VALORI!$B$5),0)</f>
        <v>992</v>
      </c>
      <c r="AA64" s="28">
        <f>IF(AA9&gt;0, (AA$30*VALORI!$B$4)+(AA$31*VALORI!$B$4)+(AA$32*VALORI!$B$3)+(AA$33*VALORI!$B$5),0)</f>
        <v>876</v>
      </c>
      <c r="AB64" s="28">
        <f>IF(AB9&gt;0, (AB$30*VALORI!$B$4)+(AB$31*VALORI!$B$4)+(AB$32*VALORI!$B$3)+(AB$33*VALORI!$B$5),0)</f>
        <v>103</v>
      </c>
      <c r="AC64" s="28">
        <f>IF(AC9&gt;0, (AC$30*VALORI!$B$4)+(AC$31*VALORI!$B$4)+(AC$32*VALORI!$B$3)+(AC$33*VALORI!$B$5),0)</f>
        <v>794</v>
      </c>
      <c r="AD64" s="28">
        <f>IF(AD9&gt;0, (AD$30*VALORI!$B$4)+(AD$31*VALORI!$B$4)+(AD$32*VALORI!$B$3)+(AD$33*VALORI!$B$5),0)</f>
        <v>2354</v>
      </c>
      <c r="AE64" s="28">
        <f>IF(AE9&gt;0, (AE$30*VALORI!$B$4)+(AE$31*VALORI!$B$4)+(AE$32*VALORI!$B$3)+(AE$33*VALORI!$B$5),0)</f>
        <v>1268</v>
      </c>
      <c r="AF64" s="28">
        <f>IF(AF9&gt;0, (AF$30*VALORI!$B$4)+(AF$31*VALORI!$B$4)+(AF$32*VALORI!$B$3)+(AF$33*VALORI!$B$5),0)</f>
        <v>1123</v>
      </c>
      <c r="AG64" s="28">
        <f>IF(AG9&gt;0, (AG$30*VALORI!$B$4)+(AG$31*VALORI!$B$4)+(AG$32*VALORI!$B$3)+(AG$33*VALORI!$B$5),0)</f>
        <v>1123</v>
      </c>
      <c r="AH64" s="28">
        <f>IF(AH9&gt;0, (AH$30*VALORI!$B$4)+(AH$31*VALORI!$B$4)+(AH$32*VALORI!$B$3)+(AH$33*VALORI!$B$5),0)</f>
        <v>148</v>
      </c>
      <c r="AI64" s="28">
        <f>IF(AI9&gt;0, (AI$30*VALORI!$B$4)+(AI$31*VALORI!$B$4)+(AI$32*VALORI!$B$3)+(AI$33*VALORI!$B$5),0)</f>
        <v>1600</v>
      </c>
      <c r="AJ64" s="28">
        <f>IF(AJ9&gt;0, (AJ$30*VALORI!$B$4)+(AJ$31*VALORI!$B$4)+(AJ$32*VALORI!$B$3)+(AJ$33*VALORI!$B$5),0)</f>
        <v>634</v>
      </c>
      <c r="AK64" s="28">
        <f>IF(AK9&gt;0, (AK$30*VALORI!$B$4)+(AK$31*VALORI!$B$4)+(AK$32*VALORI!$B$3)+(AK$33*VALORI!$B$5),0)</f>
        <v>3890</v>
      </c>
      <c r="AL64" s="28">
        <f>IF(AL9&gt;0, (AL$30*VALORI!$B$4)+(AL$31*VALORI!$B$4)+(AL$32*VALORI!$B$3)+(AL$33*VALORI!$B$5),0)</f>
        <v>532</v>
      </c>
      <c r="AM64" s="28">
        <f>IF(AM9&gt;0, (AM$30*VALORI!$B$4)+(AM$31*VALORI!$B$4)+(AM$32*VALORI!$B$3)+(AM$33*VALORI!$B$5),0)</f>
        <v>416</v>
      </c>
      <c r="AN64" s="28">
        <f>IF(AN9&gt;0, (AN$30*VALORI!$B$4)+(AN$31*VALORI!$B$4)+(AN$32*VALORI!$B$3)+(AN$33*VALORI!$B$5),0)</f>
        <v>421</v>
      </c>
      <c r="AO64" s="28">
        <f>IF(AO9&gt;0, (AO$30*VALORI!$B$4)+(AO$31*VALORI!$B$4)+(AO$32*VALORI!$B$3)+(AO$33*VALORI!$B$5),0)</f>
        <v>572</v>
      </c>
      <c r="AP64" s="28">
        <f>IF(AP9&gt;0, (AP$30*VALORI!$B$4)+(AP$31*VALORI!$B$4)+(AP$32*VALORI!$B$3)+(AP$33*VALORI!$B$5),0)</f>
        <v>0</v>
      </c>
      <c r="AQ64" s="28">
        <f>IF(AQ9&gt;0, (AQ$30*VALORI!$B$4)+(AQ$31*VALORI!$B$4)+(AQ$32*VALORI!$B$3)+(AQ$33*VALORI!$B$5),0)</f>
        <v>642</v>
      </c>
    </row>
    <row r="65" spans="23:43" ht="15.75" x14ac:dyDescent="0.25">
      <c r="W65" s="28">
        <f>IF(W10&gt;0, (W$30*VALORI!$B$4)+(W$31*VALORI!$B$4)+(W$32*VALORI!$B$3)+(W$33*VALORI!$B$5),0)</f>
        <v>0</v>
      </c>
      <c r="X65" s="28">
        <f>IF(X10&gt;0, (X$30*VALORI!$B$4)+(X$31*VALORI!$B$4)+(X$32*VALORI!$B$3)+(X$33*VALORI!$B$5),0)</f>
        <v>0</v>
      </c>
      <c r="Y65" s="28">
        <f>IF(Y10&gt;0, (Y$30*VALORI!$B$4)+(Y$31*VALORI!$B$4)+(Y$32*VALORI!$B$3)+(Y$33*VALORI!$B$5),0)</f>
        <v>0</v>
      </c>
      <c r="Z65" s="28">
        <f>IF(Z10&gt;0, (Z$30*VALORI!$B$4)+(Z$31*VALORI!$B$4)+(Z$32*VALORI!$B$3)+(Z$33*VALORI!$B$5),0)</f>
        <v>0</v>
      </c>
      <c r="AA65" s="28">
        <f>IF(AA10&gt;0, (AA$30*VALORI!$B$4)+(AA$31*VALORI!$B$4)+(AA$32*VALORI!$B$3)+(AA$33*VALORI!$B$5),0)</f>
        <v>0</v>
      </c>
      <c r="AB65" s="28">
        <f>IF(AB10&gt;0, (AB$30*VALORI!$B$4)+(AB$31*VALORI!$B$4)+(AB$32*VALORI!$B$3)+(AB$33*VALORI!$B$5),0)</f>
        <v>0</v>
      </c>
      <c r="AC65" s="28">
        <f>IF(AC10&gt;0, (AC$30*VALORI!$B$4)+(AC$31*VALORI!$B$4)+(AC$32*VALORI!$B$3)+(AC$33*VALORI!$B$5),0)</f>
        <v>0</v>
      </c>
      <c r="AD65" s="28">
        <f>IF(AD10&gt;0, (AD$30*VALORI!$B$4)+(AD$31*VALORI!$B$4)+(AD$32*VALORI!$B$3)+(AD$33*VALORI!$B$5),0)</f>
        <v>0</v>
      </c>
      <c r="AE65" s="28">
        <f>IF(AE10&gt;0, (AE$30*VALORI!$B$4)+(AE$31*VALORI!$B$4)+(AE$32*VALORI!$B$3)+(AE$33*VALORI!$B$5),0)</f>
        <v>0</v>
      </c>
      <c r="AF65" s="28">
        <f>IF(AF10&gt;0, (AF$30*VALORI!$B$4)+(AF$31*VALORI!$B$4)+(AF$32*VALORI!$B$3)+(AF$33*VALORI!$B$5),0)</f>
        <v>0</v>
      </c>
      <c r="AG65" s="28">
        <f>IF(AG10&gt;0, (AG$30*VALORI!$B$4)+(AG$31*VALORI!$B$4)+(AG$32*VALORI!$B$3)+(AG$33*VALORI!$B$5),0)</f>
        <v>0</v>
      </c>
      <c r="AH65" s="28">
        <f>IF(AH10&gt;0, (AH$30*VALORI!$B$4)+(AH$31*VALORI!$B$4)+(AH$32*VALORI!$B$3)+(AH$33*VALORI!$B$5),0)</f>
        <v>0</v>
      </c>
      <c r="AI65" s="28">
        <f>IF(AI10&gt;0, (AI$30*VALORI!$B$4)+(AI$31*VALORI!$B$4)+(AI$32*VALORI!$B$3)+(AI$33*VALORI!$B$5),0)</f>
        <v>0</v>
      </c>
      <c r="AJ65" s="28">
        <f>IF(AJ10&gt;0, (AJ$30*VALORI!$B$4)+(AJ$31*VALORI!$B$4)+(AJ$32*VALORI!$B$3)+(AJ$33*VALORI!$B$5),0)</f>
        <v>0</v>
      </c>
      <c r="AK65" s="28">
        <f>IF(AK10&gt;0, (AK$30*VALORI!$B$4)+(AK$31*VALORI!$B$4)+(AK$32*VALORI!$B$3)+(AK$33*VALORI!$B$5),0)</f>
        <v>0</v>
      </c>
      <c r="AL65" s="28">
        <f>IF(AL10&gt;0, (AL$30*VALORI!$B$4)+(AL$31*VALORI!$B$4)+(AL$32*VALORI!$B$3)+(AL$33*VALORI!$B$5),0)</f>
        <v>0</v>
      </c>
      <c r="AM65" s="28">
        <f>IF(AM10&gt;0, (AM$30*VALORI!$B$4)+(AM$31*VALORI!$B$4)+(AM$32*VALORI!$B$3)+(AM$33*VALORI!$B$5),0)</f>
        <v>0</v>
      </c>
      <c r="AN65" s="28">
        <f>IF(AN10&gt;0, (AN$30*VALORI!$B$4)+(AN$31*VALORI!$B$4)+(AN$32*VALORI!$B$3)+(AN$33*VALORI!$B$5),0)</f>
        <v>0</v>
      </c>
      <c r="AO65" s="28">
        <f>IF(AO10&gt;0, (AO$30*VALORI!$B$4)+(AO$31*VALORI!$B$4)+(AO$32*VALORI!$B$3)+(AO$33*VALORI!$B$5),0)</f>
        <v>0</v>
      </c>
      <c r="AP65" s="28">
        <f>IF(AP10&gt;0, (AP$30*VALORI!$B$4)+(AP$31*VALORI!$B$4)+(AP$32*VALORI!$B$3)+(AP$33*VALORI!$B$5),0)</f>
        <v>0</v>
      </c>
      <c r="AQ65" s="28">
        <f>IF(AQ10&gt;0, (AQ$30*VALORI!$B$4)+(AQ$31*VALORI!$B$4)+(AQ$32*VALORI!$B$3)+(AQ$33*VALORI!$B$5),0)</f>
        <v>0</v>
      </c>
    </row>
    <row r="66" spans="23:43" ht="15.75" x14ac:dyDescent="0.25">
      <c r="W66" s="28">
        <f>IF(W11&gt;0, (W$30*VALORI!$B$4)+(W$31*VALORI!$B$4)+(W$32*VALORI!$B$3)+(W$33*VALORI!$B$5),0)</f>
        <v>1240</v>
      </c>
      <c r="X66" s="28">
        <f>IF(X11&gt;0, (X$30*VALORI!$B$4)+(X$31*VALORI!$B$4)+(X$32*VALORI!$B$3)+(X$33*VALORI!$B$5),0)</f>
        <v>3720</v>
      </c>
      <c r="Y66" s="28">
        <f>IF(Y11&gt;0, (Y$30*VALORI!$B$4)+(Y$31*VALORI!$B$4)+(Y$32*VALORI!$B$3)+(Y$33*VALORI!$B$5),0)</f>
        <v>992</v>
      </c>
      <c r="Z66" s="28">
        <f>IF(Z11&gt;0, (Z$30*VALORI!$B$4)+(Z$31*VALORI!$B$4)+(Z$32*VALORI!$B$3)+(Z$33*VALORI!$B$5),0)</f>
        <v>992</v>
      </c>
      <c r="AA66" s="28">
        <f>IF(AA11&gt;0, (AA$30*VALORI!$B$4)+(AA$31*VALORI!$B$4)+(AA$32*VALORI!$B$3)+(AA$33*VALORI!$B$5),0)</f>
        <v>876</v>
      </c>
      <c r="AB66" s="28">
        <f>IF(AB11&gt;0, (AB$30*VALORI!$B$4)+(AB$31*VALORI!$B$4)+(AB$32*VALORI!$B$3)+(AB$33*VALORI!$B$5),0)</f>
        <v>103</v>
      </c>
      <c r="AC66" s="28">
        <f>IF(AC11&gt;0, (AC$30*VALORI!$B$4)+(AC$31*VALORI!$B$4)+(AC$32*VALORI!$B$3)+(AC$33*VALORI!$B$5),0)</f>
        <v>794</v>
      </c>
      <c r="AD66" s="28">
        <f>IF(AD11&gt;0, (AD$30*VALORI!$B$4)+(AD$31*VALORI!$B$4)+(AD$32*VALORI!$B$3)+(AD$33*VALORI!$B$5),0)</f>
        <v>2354</v>
      </c>
      <c r="AE66" s="28">
        <f>IF(AE11&gt;0, (AE$30*VALORI!$B$4)+(AE$31*VALORI!$B$4)+(AE$32*VALORI!$B$3)+(AE$33*VALORI!$B$5),0)</f>
        <v>1268</v>
      </c>
      <c r="AF66" s="28">
        <f>IF(AF11&gt;0, (AF$30*VALORI!$B$4)+(AF$31*VALORI!$B$4)+(AF$32*VALORI!$B$3)+(AF$33*VALORI!$B$5),0)</f>
        <v>1123</v>
      </c>
      <c r="AG66" s="28">
        <f>IF(AG11&gt;0, (AG$30*VALORI!$B$4)+(AG$31*VALORI!$B$4)+(AG$32*VALORI!$B$3)+(AG$33*VALORI!$B$5),0)</f>
        <v>1123</v>
      </c>
      <c r="AH66" s="28">
        <f>IF(AH11&gt;0, (AH$30*VALORI!$B$4)+(AH$31*VALORI!$B$4)+(AH$32*VALORI!$B$3)+(AH$33*VALORI!$B$5),0)</f>
        <v>148</v>
      </c>
      <c r="AI66" s="28">
        <f>IF(AI11&gt;0, (AI$30*VALORI!$B$4)+(AI$31*VALORI!$B$4)+(AI$32*VALORI!$B$3)+(AI$33*VALORI!$B$5),0)</f>
        <v>1600</v>
      </c>
      <c r="AJ66" s="28">
        <f>IF(AJ11&gt;0, (AJ$30*VALORI!$B$4)+(AJ$31*VALORI!$B$4)+(AJ$32*VALORI!$B$3)+(AJ$33*VALORI!$B$5),0)</f>
        <v>634</v>
      </c>
      <c r="AK66" s="28">
        <f>IF(AK11&gt;0, (AK$30*VALORI!$B$4)+(AK$31*VALORI!$B$4)+(AK$32*VALORI!$B$3)+(AK$33*VALORI!$B$5),0)</f>
        <v>3890</v>
      </c>
      <c r="AL66" s="28">
        <f>IF(AL11&gt;0, (AL$30*VALORI!$B$4)+(AL$31*VALORI!$B$4)+(AL$32*VALORI!$B$3)+(AL$33*VALORI!$B$5),0)</f>
        <v>532</v>
      </c>
      <c r="AM66" s="28">
        <f>IF(AM11&gt;0, (AM$30*VALORI!$B$4)+(AM$31*VALORI!$B$4)+(AM$32*VALORI!$B$3)+(AM$33*VALORI!$B$5),0)</f>
        <v>416</v>
      </c>
      <c r="AN66" s="28">
        <f>IF(AN11&gt;0, (AN$30*VALORI!$B$4)+(AN$31*VALORI!$B$4)+(AN$32*VALORI!$B$3)+(AN$33*VALORI!$B$5),0)</f>
        <v>421</v>
      </c>
      <c r="AO66" s="28">
        <f>IF(AO11&gt;0, (AO$30*VALORI!$B$4)+(AO$31*VALORI!$B$4)+(AO$32*VALORI!$B$3)+(AO$33*VALORI!$B$5),0)</f>
        <v>572</v>
      </c>
      <c r="AP66" s="28">
        <f>IF(AP11&gt;0, (AP$30*VALORI!$B$4)+(AP$31*VALORI!$B$4)+(AP$32*VALORI!$B$3)+(AP$33*VALORI!$B$5),0)</f>
        <v>0</v>
      </c>
      <c r="AQ66" s="28">
        <f>IF(AQ11&gt;0, (AQ$30*VALORI!$B$4)+(AQ$31*VALORI!$B$4)+(AQ$32*VALORI!$B$3)+(AQ$33*VALORI!$B$5),0)</f>
        <v>642</v>
      </c>
    </row>
    <row r="67" spans="23:43" ht="15.75" x14ac:dyDescent="0.25">
      <c r="W67" s="28">
        <f>IF(W12&gt;0, (W$30*VALORI!$B$4)+(W$31*VALORI!$B$4)+(W$32*VALORI!$B$3)+(W$33*VALORI!$B$5),0)</f>
        <v>1240</v>
      </c>
      <c r="X67" s="28">
        <f>IF(X12&gt;0, (X$30*VALORI!$B$4)+(X$31*VALORI!$B$4)+(X$32*VALORI!$B$3)+(X$33*VALORI!$B$5),0)</f>
        <v>3720</v>
      </c>
      <c r="Y67" s="28">
        <f>IF(Y12&gt;0, (Y$30*VALORI!$B$4)+(Y$31*VALORI!$B$4)+(Y$32*VALORI!$B$3)+(Y$33*VALORI!$B$5),0)</f>
        <v>992</v>
      </c>
      <c r="Z67" s="28">
        <f>IF(Z12&gt;0, (Z$30*VALORI!$B$4)+(Z$31*VALORI!$B$4)+(Z$32*VALORI!$B$3)+(Z$33*VALORI!$B$5),0)</f>
        <v>992</v>
      </c>
      <c r="AA67" s="28">
        <f>IF(AA12&gt;0, (AA$30*VALORI!$B$4)+(AA$31*VALORI!$B$4)+(AA$32*VALORI!$B$3)+(AA$33*VALORI!$B$5),0)</f>
        <v>876</v>
      </c>
      <c r="AB67" s="28">
        <f>IF(AB12&gt;0, (AB$30*VALORI!$B$4)+(AB$31*VALORI!$B$4)+(AB$32*VALORI!$B$3)+(AB$33*VALORI!$B$5),0)</f>
        <v>103</v>
      </c>
      <c r="AC67" s="28">
        <f>IF(AC12&gt;0, (AC$30*VALORI!$B$4)+(AC$31*VALORI!$B$4)+(AC$32*VALORI!$B$3)+(AC$33*VALORI!$B$5),0)</f>
        <v>794</v>
      </c>
      <c r="AD67" s="28">
        <f>IF(AD12&gt;0, (AD$30*VALORI!$B$4)+(AD$31*VALORI!$B$4)+(AD$32*VALORI!$B$3)+(AD$33*VALORI!$B$5),0)</f>
        <v>2354</v>
      </c>
      <c r="AE67" s="28">
        <f>IF(AE12&gt;0, (AE$30*VALORI!$B$4)+(AE$31*VALORI!$B$4)+(AE$32*VALORI!$B$3)+(AE$33*VALORI!$B$5),0)</f>
        <v>1268</v>
      </c>
      <c r="AF67" s="28">
        <f>IF(AF12&gt;0, (AF$30*VALORI!$B$4)+(AF$31*VALORI!$B$4)+(AF$32*VALORI!$B$3)+(AF$33*VALORI!$B$5),0)</f>
        <v>1123</v>
      </c>
      <c r="AG67" s="28">
        <f>IF(AG12&gt;0, (AG$30*VALORI!$B$4)+(AG$31*VALORI!$B$4)+(AG$32*VALORI!$B$3)+(AG$33*VALORI!$B$5),0)</f>
        <v>1123</v>
      </c>
      <c r="AH67" s="28">
        <f>IF(AH12&gt;0, (AH$30*VALORI!$B$4)+(AH$31*VALORI!$B$4)+(AH$32*VALORI!$B$3)+(AH$33*VALORI!$B$5),0)</f>
        <v>148</v>
      </c>
      <c r="AI67" s="28">
        <f>IF(AI12&gt;0, (AI$30*VALORI!$B$4)+(AI$31*VALORI!$B$4)+(AI$32*VALORI!$B$3)+(AI$33*VALORI!$B$5),0)</f>
        <v>1600</v>
      </c>
      <c r="AJ67" s="28">
        <f>IF(AJ12&gt;0, (AJ$30*VALORI!$B$4)+(AJ$31*VALORI!$B$4)+(AJ$32*VALORI!$B$3)+(AJ$33*VALORI!$B$5),0)</f>
        <v>634</v>
      </c>
      <c r="AK67" s="28">
        <f>IF(AK12&gt;0, (AK$30*VALORI!$B$4)+(AK$31*VALORI!$B$4)+(AK$32*VALORI!$B$3)+(AK$33*VALORI!$B$5),0)</f>
        <v>3890</v>
      </c>
      <c r="AL67" s="28">
        <f>IF(AL12&gt;0, (AL$30*VALORI!$B$4)+(AL$31*VALORI!$B$4)+(AL$32*VALORI!$B$3)+(AL$33*VALORI!$B$5),0)</f>
        <v>532</v>
      </c>
      <c r="AM67" s="28">
        <f>IF(AM12&gt;0, (AM$30*VALORI!$B$4)+(AM$31*VALORI!$B$4)+(AM$32*VALORI!$B$3)+(AM$33*VALORI!$B$5),0)</f>
        <v>416</v>
      </c>
      <c r="AN67" s="28">
        <f>IF(AN12&gt;0, (AN$30*VALORI!$B$4)+(AN$31*VALORI!$B$4)+(AN$32*VALORI!$B$3)+(AN$33*VALORI!$B$5),0)</f>
        <v>421</v>
      </c>
      <c r="AO67" s="28">
        <f>IF(AO12&gt;0, (AO$30*VALORI!$B$4)+(AO$31*VALORI!$B$4)+(AO$32*VALORI!$B$3)+(AO$33*VALORI!$B$5),0)</f>
        <v>572</v>
      </c>
      <c r="AP67" s="28">
        <f>IF(AP12&gt;0, (AP$30*VALORI!$B$4)+(AP$31*VALORI!$B$4)+(AP$32*VALORI!$B$3)+(AP$33*VALORI!$B$5),0)</f>
        <v>0</v>
      </c>
      <c r="AQ67" s="28">
        <f>IF(AQ12&gt;0, (AQ$30*VALORI!$B$4)+(AQ$31*VALORI!$B$4)+(AQ$32*VALORI!$B$3)+(AQ$33*VALORI!$B$5),0)</f>
        <v>642</v>
      </c>
    </row>
    <row r="68" spans="23:43" ht="15.75" x14ac:dyDescent="0.25">
      <c r="W68" s="28">
        <f>IF(W13&gt;0, (W$30*VALORI!$B$4)+(W$31*VALORI!$B$4)+(W$32*VALORI!$B$3)+(W$33*VALORI!$B$5),0)</f>
        <v>1240</v>
      </c>
      <c r="X68" s="28">
        <f>IF(X13&gt;0, (X$30*VALORI!$B$4)+(X$31*VALORI!$B$4)+(X$32*VALORI!$B$3)+(X$33*VALORI!$B$5),0)</f>
        <v>3720</v>
      </c>
      <c r="Y68" s="28">
        <f>IF(Y13&gt;0, (Y$30*VALORI!$B$4)+(Y$31*VALORI!$B$4)+(Y$32*VALORI!$B$3)+(Y$33*VALORI!$B$5),0)</f>
        <v>992</v>
      </c>
      <c r="Z68" s="28">
        <f>IF(Z13&gt;0, (Z$30*VALORI!$B$4)+(Z$31*VALORI!$B$4)+(Z$32*VALORI!$B$3)+(Z$33*VALORI!$B$5),0)</f>
        <v>992</v>
      </c>
      <c r="AA68" s="28">
        <f>IF(AA13&gt;0, (AA$30*VALORI!$B$4)+(AA$31*VALORI!$B$4)+(AA$32*VALORI!$B$3)+(AA$33*VALORI!$B$5),0)</f>
        <v>876</v>
      </c>
      <c r="AB68" s="28">
        <f>IF(AB13&gt;0, (AB$30*VALORI!$B$4)+(AB$31*VALORI!$B$4)+(AB$32*VALORI!$B$3)+(AB$33*VALORI!$B$5),0)</f>
        <v>103</v>
      </c>
      <c r="AC68" s="28">
        <f>IF(AC13&gt;0, (AC$30*VALORI!$B$4)+(AC$31*VALORI!$B$4)+(AC$32*VALORI!$B$3)+(AC$33*VALORI!$B$5),0)</f>
        <v>794</v>
      </c>
      <c r="AD68" s="28">
        <f>IF(AD13&gt;0, (AD$30*VALORI!$B$4)+(AD$31*VALORI!$B$4)+(AD$32*VALORI!$B$3)+(AD$33*VALORI!$B$5),0)</f>
        <v>2354</v>
      </c>
      <c r="AE68" s="28">
        <f>IF(AE13&gt;0, (AE$30*VALORI!$B$4)+(AE$31*VALORI!$B$4)+(AE$32*VALORI!$B$3)+(AE$33*VALORI!$B$5),0)</f>
        <v>1268</v>
      </c>
      <c r="AF68" s="28">
        <f>IF(AF13&gt;0, (AF$30*VALORI!$B$4)+(AF$31*VALORI!$B$4)+(AF$32*VALORI!$B$3)+(AF$33*VALORI!$B$5),0)</f>
        <v>1123</v>
      </c>
      <c r="AG68" s="28">
        <f>IF(AG13&gt;0, (AG$30*VALORI!$B$4)+(AG$31*VALORI!$B$4)+(AG$32*VALORI!$B$3)+(AG$33*VALORI!$B$5),0)</f>
        <v>1123</v>
      </c>
      <c r="AH68" s="28">
        <f>IF(AH13&gt;0, (AH$30*VALORI!$B$4)+(AH$31*VALORI!$B$4)+(AH$32*VALORI!$B$3)+(AH$33*VALORI!$B$5),0)</f>
        <v>148</v>
      </c>
      <c r="AI68" s="28">
        <f>IF(AI13&gt;0, (AI$30*VALORI!$B$4)+(AI$31*VALORI!$B$4)+(AI$32*VALORI!$B$3)+(AI$33*VALORI!$B$5),0)</f>
        <v>1600</v>
      </c>
      <c r="AJ68" s="28">
        <f>IF(AJ13&gt;0, (AJ$30*VALORI!$B$4)+(AJ$31*VALORI!$B$4)+(AJ$32*VALORI!$B$3)+(AJ$33*VALORI!$B$5),0)</f>
        <v>634</v>
      </c>
      <c r="AK68" s="28">
        <f>IF(AK13&gt;0, (AK$30*VALORI!$B$4)+(AK$31*VALORI!$B$4)+(AK$32*VALORI!$B$3)+(AK$33*VALORI!$B$5),0)</f>
        <v>3890</v>
      </c>
      <c r="AL68" s="28">
        <f>IF(AL13&gt;0, (AL$30*VALORI!$B$4)+(AL$31*VALORI!$B$4)+(AL$32*VALORI!$B$3)+(AL$33*VALORI!$B$5),0)</f>
        <v>532</v>
      </c>
      <c r="AM68" s="28">
        <f>IF(AM13&gt;0, (AM$30*VALORI!$B$4)+(AM$31*VALORI!$B$4)+(AM$32*VALORI!$B$3)+(AM$33*VALORI!$B$5),0)</f>
        <v>416</v>
      </c>
      <c r="AN68" s="28">
        <f>IF(AN13&gt;0, (AN$30*VALORI!$B$4)+(AN$31*VALORI!$B$4)+(AN$32*VALORI!$B$3)+(AN$33*VALORI!$B$5),0)</f>
        <v>421</v>
      </c>
      <c r="AO68" s="28">
        <f>IF(AO13&gt;0, (AO$30*VALORI!$B$4)+(AO$31*VALORI!$B$4)+(AO$32*VALORI!$B$3)+(AO$33*VALORI!$B$5),0)</f>
        <v>572</v>
      </c>
      <c r="AP68" s="28">
        <f>IF(AP13&gt;0, (AP$30*VALORI!$B$4)+(AP$31*VALORI!$B$4)+(AP$32*VALORI!$B$3)+(AP$33*VALORI!$B$5),0)</f>
        <v>0</v>
      </c>
      <c r="AQ68" s="28">
        <f>IF(AQ13&gt;0, (AQ$30*VALORI!$B$4)+(AQ$31*VALORI!$B$4)+(AQ$32*VALORI!$B$3)+(AQ$33*VALORI!$B$5),0)</f>
        <v>642</v>
      </c>
    </row>
    <row r="69" spans="23:43" ht="15.75" x14ac:dyDescent="0.25">
      <c r="W69" s="28">
        <f>IF(W14&gt;0, (W$30*VALORI!$B$4)+(W$31*VALORI!$B$4)+(W$32*VALORI!$B$3)+(W$33*VALORI!$B$5),0)</f>
        <v>0</v>
      </c>
      <c r="X69" s="28">
        <f>IF(X14&gt;0, (X$30*VALORI!$B$4)+(X$31*VALORI!$B$4)+(X$32*VALORI!$B$3)+(X$33*VALORI!$B$5),0)</f>
        <v>0</v>
      </c>
      <c r="Y69" s="28">
        <f>IF(Y14&gt;0, (Y$30*VALORI!$B$4)+(Y$31*VALORI!$B$4)+(Y$32*VALORI!$B$3)+(Y$33*VALORI!$B$5),0)</f>
        <v>0</v>
      </c>
      <c r="Z69" s="28">
        <f>IF(Z14&gt;0, (Z$30*VALORI!$B$4)+(Z$31*VALORI!$B$4)+(Z$32*VALORI!$B$3)+(Z$33*VALORI!$B$5),0)</f>
        <v>0</v>
      </c>
      <c r="AA69" s="28">
        <f>IF(AA14&gt;0, (AA$30*VALORI!$B$4)+(AA$31*VALORI!$B$4)+(AA$32*VALORI!$B$3)+(AA$33*VALORI!$B$5),0)</f>
        <v>0</v>
      </c>
      <c r="AB69" s="28">
        <f>IF(AB14&gt;0, (AB$30*VALORI!$B$4)+(AB$31*VALORI!$B$4)+(AB$32*VALORI!$B$3)+(AB$33*VALORI!$B$5),0)</f>
        <v>0</v>
      </c>
      <c r="AC69" s="28">
        <f>IF(AC14&gt;0, (AC$30*VALORI!$B$4)+(AC$31*VALORI!$B$4)+(AC$32*VALORI!$B$3)+(AC$33*VALORI!$B$5),0)</f>
        <v>0</v>
      </c>
      <c r="AD69" s="28">
        <f>IF(AD14&gt;0, (AD$30*VALORI!$B$4)+(AD$31*VALORI!$B$4)+(AD$32*VALORI!$B$3)+(AD$33*VALORI!$B$5),0)</f>
        <v>0</v>
      </c>
      <c r="AE69" s="28">
        <f>IF(AE14&gt;0, (AE$30*VALORI!$B$4)+(AE$31*VALORI!$B$4)+(AE$32*VALORI!$B$3)+(AE$33*VALORI!$B$5),0)</f>
        <v>0</v>
      </c>
      <c r="AF69" s="28">
        <f>IF(AF14&gt;0, (AF$30*VALORI!$B$4)+(AF$31*VALORI!$B$4)+(AF$32*VALORI!$B$3)+(AF$33*VALORI!$B$5),0)</f>
        <v>0</v>
      </c>
      <c r="AG69" s="28">
        <f>IF(AG14&gt;0, (AG$30*VALORI!$B$4)+(AG$31*VALORI!$B$4)+(AG$32*VALORI!$B$3)+(AG$33*VALORI!$B$5),0)</f>
        <v>0</v>
      </c>
      <c r="AH69" s="28">
        <f>IF(AH14&gt;0, (AH$30*VALORI!$B$4)+(AH$31*VALORI!$B$4)+(AH$32*VALORI!$B$3)+(AH$33*VALORI!$B$5),0)</f>
        <v>0</v>
      </c>
      <c r="AI69" s="28">
        <f>IF(AI14&gt;0, (AI$30*VALORI!$B$4)+(AI$31*VALORI!$B$4)+(AI$32*VALORI!$B$3)+(AI$33*VALORI!$B$5),0)</f>
        <v>0</v>
      </c>
      <c r="AJ69" s="28">
        <f>IF(AJ14&gt;0, (AJ$30*VALORI!$B$4)+(AJ$31*VALORI!$B$4)+(AJ$32*VALORI!$B$3)+(AJ$33*VALORI!$B$5),0)</f>
        <v>0</v>
      </c>
      <c r="AK69" s="28">
        <f>IF(AK14&gt;0, (AK$30*VALORI!$B$4)+(AK$31*VALORI!$B$4)+(AK$32*VALORI!$B$3)+(AK$33*VALORI!$B$5),0)</f>
        <v>0</v>
      </c>
      <c r="AL69" s="28">
        <f>IF(AL14&gt;0, (AL$30*VALORI!$B$4)+(AL$31*VALORI!$B$4)+(AL$32*VALORI!$B$3)+(AL$33*VALORI!$B$5),0)</f>
        <v>0</v>
      </c>
      <c r="AM69" s="28">
        <f>IF(AM14&gt;0, (AM$30*VALORI!$B$4)+(AM$31*VALORI!$B$4)+(AM$32*VALORI!$B$3)+(AM$33*VALORI!$B$5),0)</f>
        <v>0</v>
      </c>
      <c r="AN69" s="28">
        <f>IF(AN14&gt;0, (AN$30*VALORI!$B$4)+(AN$31*VALORI!$B$4)+(AN$32*VALORI!$B$3)+(AN$33*VALORI!$B$5),0)</f>
        <v>0</v>
      </c>
      <c r="AO69" s="28">
        <f>IF(AO14&gt;0, (AO$30*VALORI!$B$4)+(AO$31*VALORI!$B$4)+(AO$32*VALORI!$B$3)+(AO$33*VALORI!$B$5),0)</f>
        <v>0</v>
      </c>
      <c r="AP69" s="28">
        <f>IF(AP14&gt;0, (AP$30*VALORI!$B$4)+(AP$31*VALORI!$B$4)+(AP$32*VALORI!$B$3)+(AP$33*VALORI!$B$5),0)</f>
        <v>0</v>
      </c>
      <c r="AQ69" s="28">
        <f>IF(AQ14&gt;0, (AQ$30*VALORI!$B$4)+(AQ$31*VALORI!$B$4)+(AQ$32*VALORI!$B$3)+(AQ$33*VALORI!$B$5),0)</f>
        <v>0</v>
      </c>
    </row>
    <row r="70" spans="23:43" ht="15.75" x14ac:dyDescent="0.25">
      <c r="W70" s="28">
        <f>IF(W15&gt;0, (W$30*VALORI!$B$4)+(W$31*VALORI!$B$4)+(W$32*VALORI!$B$3)+(W$33*VALORI!$B$5),0)</f>
        <v>1240</v>
      </c>
      <c r="X70" s="28">
        <f>IF(X15&gt;0, (X$30*VALORI!$B$4)+(X$31*VALORI!$B$4)+(X$32*VALORI!$B$3)+(X$33*VALORI!$B$5),0)</f>
        <v>3720</v>
      </c>
      <c r="Y70" s="28">
        <f>IF(Y15&gt;0, (Y$30*VALORI!$B$4)+(Y$31*VALORI!$B$4)+(Y$32*VALORI!$B$3)+(Y$33*VALORI!$B$5),0)</f>
        <v>992</v>
      </c>
      <c r="Z70" s="28">
        <f>IF(Z15&gt;0, (Z$30*VALORI!$B$4)+(Z$31*VALORI!$B$4)+(Z$32*VALORI!$B$3)+(Z$33*VALORI!$B$5),0)</f>
        <v>992</v>
      </c>
      <c r="AA70" s="28">
        <f>IF(AA15&gt;0, (AA$30*VALORI!$B$4)+(AA$31*VALORI!$B$4)+(AA$32*VALORI!$B$3)+(AA$33*VALORI!$B$5),0)</f>
        <v>876</v>
      </c>
      <c r="AB70" s="28">
        <f>IF(AB15&gt;0, (AB$30*VALORI!$B$4)+(AB$31*VALORI!$B$4)+(AB$32*VALORI!$B$3)+(AB$33*VALORI!$B$5),0)</f>
        <v>103</v>
      </c>
      <c r="AC70" s="28">
        <f>IF(AC15&gt;0, (AC$30*VALORI!$B$4)+(AC$31*VALORI!$B$4)+(AC$32*VALORI!$B$3)+(AC$33*VALORI!$B$5),0)</f>
        <v>794</v>
      </c>
      <c r="AD70" s="28">
        <f>IF(AD15&gt;0, (AD$30*VALORI!$B$4)+(AD$31*VALORI!$B$4)+(AD$32*VALORI!$B$3)+(AD$33*VALORI!$B$5),0)</f>
        <v>2354</v>
      </c>
      <c r="AE70" s="28">
        <f>IF(AE15&gt;0, (AE$30*VALORI!$B$4)+(AE$31*VALORI!$B$4)+(AE$32*VALORI!$B$3)+(AE$33*VALORI!$B$5),0)</f>
        <v>1268</v>
      </c>
      <c r="AF70" s="28">
        <f>IF(AF15&gt;0, (AF$30*VALORI!$B$4)+(AF$31*VALORI!$B$4)+(AF$32*VALORI!$B$3)+(AF$33*VALORI!$B$5),0)</f>
        <v>1123</v>
      </c>
      <c r="AG70" s="28">
        <f>IF(AG15&gt;0, (AG$30*VALORI!$B$4)+(AG$31*VALORI!$B$4)+(AG$32*VALORI!$B$3)+(AG$33*VALORI!$B$5),0)</f>
        <v>1123</v>
      </c>
      <c r="AH70" s="28">
        <f>IF(AH15&gt;0, (AH$30*VALORI!$B$4)+(AH$31*VALORI!$B$4)+(AH$32*VALORI!$B$3)+(AH$33*VALORI!$B$5),0)</f>
        <v>148</v>
      </c>
      <c r="AI70" s="28">
        <f>IF(AI15&gt;0, (AI$30*VALORI!$B$4)+(AI$31*VALORI!$B$4)+(AI$32*VALORI!$B$3)+(AI$33*VALORI!$B$5),0)</f>
        <v>1600</v>
      </c>
      <c r="AJ70" s="28">
        <f>IF(AJ15&gt;0, (AJ$30*VALORI!$B$4)+(AJ$31*VALORI!$B$4)+(AJ$32*VALORI!$B$3)+(AJ$33*VALORI!$B$5),0)</f>
        <v>634</v>
      </c>
      <c r="AK70" s="28">
        <f>IF(AK15&gt;0, (AK$30*VALORI!$B$4)+(AK$31*VALORI!$B$4)+(AK$32*VALORI!$B$3)+(AK$33*VALORI!$B$5),0)</f>
        <v>3890</v>
      </c>
      <c r="AL70" s="28">
        <f>IF(AL15&gt;0, (AL$30*VALORI!$B$4)+(AL$31*VALORI!$B$4)+(AL$32*VALORI!$B$3)+(AL$33*VALORI!$B$5),0)</f>
        <v>532</v>
      </c>
      <c r="AM70" s="28">
        <f>IF(AM15&gt;0, (AM$30*VALORI!$B$4)+(AM$31*VALORI!$B$4)+(AM$32*VALORI!$B$3)+(AM$33*VALORI!$B$5),0)</f>
        <v>416</v>
      </c>
      <c r="AN70" s="28">
        <f>IF(AN15&gt;0, (AN$30*VALORI!$B$4)+(AN$31*VALORI!$B$4)+(AN$32*VALORI!$B$3)+(AN$33*VALORI!$B$5),0)</f>
        <v>421</v>
      </c>
      <c r="AO70" s="28">
        <f>IF(AO15&gt;0, (AO$30*VALORI!$B$4)+(AO$31*VALORI!$B$4)+(AO$32*VALORI!$B$3)+(AO$33*VALORI!$B$5),0)</f>
        <v>572</v>
      </c>
      <c r="AP70" s="28">
        <f>IF(AP15&gt;0, (AP$30*VALORI!$B$4)+(AP$31*VALORI!$B$4)+(AP$32*VALORI!$B$3)+(AP$33*VALORI!$B$5),0)</f>
        <v>0</v>
      </c>
      <c r="AQ70" s="28">
        <f>IF(AQ15&gt;0, (AQ$30*VALORI!$B$4)+(AQ$31*VALORI!$B$4)+(AQ$32*VALORI!$B$3)+(AQ$33*VALORI!$B$5),0)</f>
        <v>642</v>
      </c>
    </row>
    <row r="71" spans="23:43" ht="15.75" x14ac:dyDescent="0.25">
      <c r="W71" s="28">
        <f>IF(W16&gt;0, (W$30*VALORI!$B$4)+(W$31*VALORI!$B$4)+(W$32*VALORI!$B$3)+(W$33*VALORI!$B$5),0)</f>
        <v>0</v>
      </c>
      <c r="X71" s="28">
        <f>IF(X16&gt;0, (X$30*VALORI!$B$4)+(X$31*VALORI!$B$4)+(X$32*VALORI!$B$3)+(X$33*VALORI!$B$5),0)</f>
        <v>0</v>
      </c>
      <c r="Y71" s="28">
        <f>IF(Y16&gt;0, (Y$30*VALORI!$B$4)+(Y$31*VALORI!$B$4)+(Y$32*VALORI!$B$3)+(Y$33*VALORI!$B$5),0)</f>
        <v>0</v>
      </c>
      <c r="Z71" s="28">
        <f>IF(Z16&gt;0, (Z$30*VALORI!$B$4)+(Z$31*VALORI!$B$4)+(Z$32*VALORI!$B$3)+(Z$33*VALORI!$B$5),0)</f>
        <v>0</v>
      </c>
      <c r="AA71" s="28">
        <f>IF(AA16&gt;0, (AA$30*VALORI!$B$4)+(AA$31*VALORI!$B$4)+(AA$32*VALORI!$B$3)+(AA$33*VALORI!$B$5),0)</f>
        <v>0</v>
      </c>
      <c r="AB71" s="28">
        <f>IF(AB16&gt;0, (AB$30*VALORI!$B$4)+(AB$31*VALORI!$B$4)+(AB$32*VALORI!$B$3)+(AB$33*VALORI!$B$5),0)</f>
        <v>0</v>
      </c>
      <c r="AC71" s="28">
        <f>IF(AC16&gt;0, (AC$30*VALORI!$B$4)+(AC$31*VALORI!$B$4)+(AC$32*VALORI!$B$3)+(AC$33*VALORI!$B$5),0)</f>
        <v>0</v>
      </c>
      <c r="AD71" s="28">
        <f>IF(AD16&gt;0, (AD$30*VALORI!$B$4)+(AD$31*VALORI!$B$4)+(AD$32*VALORI!$B$3)+(AD$33*VALORI!$B$5),0)</f>
        <v>0</v>
      </c>
      <c r="AE71" s="28">
        <f>IF(AE16&gt;0, (AE$30*VALORI!$B$4)+(AE$31*VALORI!$B$4)+(AE$32*VALORI!$B$3)+(AE$33*VALORI!$B$5),0)</f>
        <v>0</v>
      </c>
      <c r="AF71" s="28">
        <f>IF(AF16&gt;0, (AF$30*VALORI!$B$4)+(AF$31*VALORI!$B$4)+(AF$32*VALORI!$B$3)+(AF$33*VALORI!$B$5),0)</f>
        <v>0</v>
      </c>
      <c r="AG71" s="28">
        <f>IF(AG16&gt;0, (AG$30*VALORI!$B$4)+(AG$31*VALORI!$B$4)+(AG$32*VALORI!$B$3)+(AG$33*VALORI!$B$5),0)</f>
        <v>0</v>
      </c>
      <c r="AH71" s="28">
        <f>IF(AH16&gt;0, (AH$30*VALORI!$B$4)+(AH$31*VALORI!$B$4)+(AH$32*VALORI!$B$3)+(AH$33*VALORI!$B$5),0)</f>
        <v>0</v>
      </c>
      <c r="AI71" s="28">
        <f>IF(AI16&gt;0, (AI$30*VALORI!$B$4)+(AI$31*VALORI!$B$4)+(AI$32*VALORI!$B$3)+(AI$33*VALORI!$B$5),0)</f>
        <v>0</v>
      </c>
      <c r="AJ71" s="28">
        <f>IF(AJ16&gt;0, (AJ$30*VALORI!$B$4)+(AJ$31*VALORI!$B$4)+(AJ$32*VALORI!$B$3)+(AJ$33*VALORI!$B$5),0)</f>
        <v>0</v>
      </c>
      <c r="AK71" s="28">
        <f>IF(AK16&gt;0, (AK$30*VALORI!$B$4)+(AK$31*VALORI!$B$4)+(AK$32*VALORI!$B$3)+(AK$33*VALORI!$B$5),0)</f>
        <v>0</v>
      </c>
      <c r="AL71" s="28">
        <f>IF(AL16&gt;0, (AL$30*VALORI!$B$4)+(AL$31*VALORI!$B$4)+(AL$32*VALORI!$B$3)+(AL$33*VALORI!$B$5),0)</f>
        <v>0</v>
      </c>
      <c r="AM71" s="28">
        <f>IF(AM16&gt;0, (AM$30*VALORI!$B$4)+(AM$31*VALORI!$B$4)+(AM$32*VALORI!$B$3)+(AM$33*VALORI!$B$5),0)</f>
        <v>0</v>
      </c>
      <c r="AN71" s="28">
        <f>IF(AN16&gt;0, (AN$30*VALORI!$B$4)+(AN$31*VALORI!$B$4)+(AN$32*VALORI!$B$3)+(AN$33*VALORI!$B$5),0)</f>
        <v>0</v>
      </c>
      <c r="AO71" s="28">
        <f>IF(AO16&gt;0, (AO$30*VALORI!$B$4)+(AO$31*VALORI!$B$4)+(AO$32*VALORI!$B$3)+(AO$33*VALORI!$B$5),0)</f>
        <v>0</v>
      </c>
      <c r="AP71" s="28">
        <f>IF(AP16&gt;0, (AP$30*VALORI!$B$4)+(AP$31*VALORI!$B$4)+(AP$32*VALORI!$B$3)+(AP$33*VALORI!$B$5),0)</f>
        <v>0</v>
      </c>
      <c r="AQ71" s="28">
        <f>IF(AQ16&gt;0, (AQ$30*VALORI!$B$4)+(AQ$31*VALORI!$B$4)+(AQ$32*VALORI!$B$3)+(AQ$33*VALORI!$B$5),0)</f>
        <v>0</v>
      </c>
    </row>
    <row r="72" spans="23:43" ht="15.75" x14ac:dyDescent="0.25">
      <c r="W72" s="28">
        <f>IF(W17&gt;0, (W$30*VALORI!$B$4)+(W$31*VALORI!$B$4)+(W$32*VALORI!$B$3)+(W$33*VALORI!$B$5),0)</f>
        <v>0</v>
      </c>
      <c r="X72" s="28">
        <f>IF(X17&gt;0, (X$30*VALORI!$B$4)+(X$31*VALORI!$B$4)+(X$32*VALORI!$B$3)+(X$33*VALORI!$B$5),0)</f>
        <v>0</v>
      </c>
      <c r="Y72" s="28">
        <f>IF(Y17&gt;0, (Y$30*VALORI!$B$4)+(Y$31*VALORI!$B$4)+(Y$32*VALORI!$B$3)+(Y$33*VALORI!$B$5),0)</f>
        <v>0</v>
      </c>
      <c r="Z72" s="28">
        <f>IF(Z17&gt;0, (Z$30*VALORI!$B$4)+(Z$31*VALORI!$B$4)+(Z$32*VALORI!$B$3)+(Z$33*VALORI!$B$5),0)</f>
        <v>0</v>
      </c>
      <c r="AA72" s="28">
        <f>IF(AA17&gt;0, (AA$30*VALORI!$B$4)+(AA$31*VALORI!$B$4)+(AA$32*VALORI!$B$3)+(AA$33*VALORI!$B$5),0)</f>
        <v>0</v>
      </c>
      <c r="AB72" s="28">
        <f>IF(AB17&gt;0, (AB$30*VALORI!$B$4)+(AB$31*VALORI!$B$4)+(AB$32*VALORI!$B$3)+(AB$33*VALORI!$B$5),0)</f>
        <v>0</v>
      </c>
      <c r="AC72" s="28">
        <f>IF(AC17&gt;0, (AC$30*VALORI!$B$4)+(AC$31*VALORI!$B$4)+(AC$32*VALORI!$B$3)+(AC$33*VALORI!$B$5),0)</f>
        <v>0</v>
      </c>
      <c r="AD72" s="28">
        <f>IF(AD17&gt;0, (AD$30*VALORI!$B$4)+(AD$31*VALORI!$B$4)+(AD$32*VALORI!$B$3)+(AD$33*VALORI!$B$5),0)</f>
        <v>0</v>
      </c>
      <c r="AE72" s="28">
        <f>IF(AE17&gt;0, (AE$30*VALORI!$B$4)+(AE$31*VALORI!$B$4)+(AE$32*VALORI!$B$3)+(AE$33*VALORI!$B$5),0)</f>
        <v>0</v>
      </c>
      <c r="AF72" s="28">
        <f>IF(AF17&gt;0, (AF$30*VALORI!$B$4)+(AF$31*VALORI!$B$4)+(AF$32*VALORI!$B$3)+(AF$33*VALORI!$B$5),0)</f>
        <v>0</v>
      </c>
      <c r="AG72" s="28">
        <f>IF(AG17&gt;0, (AG$30*VALORI!$B$4)+(AG$31*VALORI!$B$4)+(AG$32*VALORI!$B$3)+(AG$33*VALORI!$B$5),0)</f>
        <v>0</v>
      </c>
      <c r="AH72" s="28">
        <f>IF(AH17&gt;0, (AH$30*VALORI!$B$4)+(AH$31*VALORI!$B$4)+(AH$32*VALORI!$B$3)+(AH$33*VALORI!$B$5),0)</f>
        <v>0</v>
      </c>
      <c r="AI72" s="28">
        <f>IF(AI17&gt;0, (AI$30*VALORI!$B$4)+(AI$31*VALORI!$B$4)+(AI$32*VALORI!$B$3)+(AI$33*VALORI!$B$5),0)</f>
        <v>0</v>
      </c>
      <c r="AJ72" s="28">
        <f>IF(AJ17&gt;0, (AJ$30*VALORI!$B$4)+(AJ$31*VALORI!$B$4)+(AJ$32*VALORI!$B$3)+(AJ$33*VALORI!$B$5),0)</f>
        <v>0</v>
      </c>
      <c r="AK72" s="28">
        <f>IF(AK17&gt;0, (AK$30*VALORI!$B$4)+(AK$31*VALORI!$B$4)+(AK$32*VALORI!$B$3)+(AK$33*VALORI!$B$5),0)</f>
        <v>0</v>
      </c>
      <c r="AL72" s="28">
        <f>IF(AL17&gt;0, (AL$30*VALORI!$B$4)+(AL$31*VALORI!$B$4)+(AL$32*VALORI!$B$3)+(AL$33*VALORI!$B$5),0)</f>
        <v>0</v>
      </c>
      <c r="AM72" s="28">
        <f>IF(AM17&gt;0, (AM$30*VALORI!$B$4)+(AM$31*VALORI!$B$4)+(AM$32*VALORI!$B$3)+(AM$33*VALORI!$B$5),0)</f>
        <v>0</v>
      </c>
      <c r="AN72" s="28">
        <f>IF(AN17&gt;0, (AN$30*VALORI!$B$4)+(AN$31*VALORI!$B$4)+(AN$32*VALORI!$B$3)+(AN$33*VALORI!$B$5),0)</f>
        <v>0</v>
      </c>
      <c r="AO72" s="28">
        <f>IF(AO17&gt;0, (AO$30*VALORI!$B$4)+(AO$31*VALORI!$B$4)+(AO$32*VALORI!$B$3)+(AO$33*VALORI!$B$5),0)</f>
        <v>0</v>
      </c>
      <c r="AP72" s="28">
        <f>IF(AP17&gt;0, (AP$30*VALORI!$B$4)+(AP$31*VALORI!$B$4)+(AP$32*VALORI!$B$3)+(AP$33*VALORI!$B$5),0)</f>
        <v>0</v>
      </c>
      <c r="AQ72" s="28">
        <f>IF(AQ17&gt;0, (AQ$30*VALORI!$B$4)+(AQ$31*VALORI!$B$4)+(AQ$32*VALORI!$B$3)+(AQ$33*VALORI!$B$5),0)</f>
        <v>0</v>
      </c>
    </row>
    <row r="73" spans="23:43" ht="15.75" x14ac:dyDescent="0.25">
      <c r="W73" s="28">
        <f>IF(W18&gt;0, (W$30*VALORI!$B$4)+(W$31*VALORI!$B$4)+(W$32*VALORI!$B$3)+(W$33*VALORI!$B$5),0)</f>
        <v>0</v>
      </c>
      <c r="X73" s="28">
        <f>IF(X18&gt;0, (X$30*VALORI!$B$4)+(X$31*VALORI!$B$4)+(X$32*VALORI!$B$3)+(X$33*VALORI!$B$5),0)</f>
        <v>0</v>
      </c>
      <c r="Y73" s="28">
        <f>IF(Y18&gt;0, (Y$30*VALORI!$B$4)+(Y$31*VALORI!$B$4)+(Y$32*VALORI!$B$3)+(Y$33*VALORI!$B$5),0)</f>
        <v>0</v>
      </c>
      <c r="Z73" s="28">
        <f>IF(Z18&gt;0, (Z$30*VALORI!$B$4)+(Z$31*VALORI!$B$4)+(Z$32*VALORI!$B$3)+(Z$33*VALORI!$B$5),0)</f>
        <v>0</v>
      </c>
      <c r="AA73" s="28">
        <f>IF(AA18&gt;0, (AA$30*VALORI!$B$4)+(AA$31*VALORI!$B$4)+(AA$32*VALORI!$B$3)+(AA$33*VALORI!$B$5),0)</f>
        <v>0</v>
      </c>
      <c r="AB73" s="28">
        <f>IF(AB18&gt;0, (AB$30*VALORI!$B$4)+(AB$31*VALORI!$B$4)+(AB$32*VALORI!$B$3)+(AB$33*VALORI!$B$5),0)</f>
        <v>0</v>
      </c>
      <c r="AC73" s="28">
        <f>IF(AC18&gt;0, (AC$30*VALORI!$B$4)+(AC$31*VALORI!$B$4)+(AC$32*VALORI!$B$3)+(AC$33*VALORI!$B$5),0)</f>
        <v>0</v>
      </c>
      <c r="AD73" s="28">
        <f>IF(AD18&gt;0, (AD$30*VALORI!$B$4)+(AD$31*VALORI!$B$4)+(AD$32*VALORI!$B$3)+(AD$33*VALORI!$B$5),0)</f>
        <v>0</v>
      </c>
      <c r="AE73" s="28">
        <f>IF(AE18&gt;0, (AE$30*VALORI!$B$4)+(AE$31*VALORI!$B$4)+(AE$32*VALORI!$B$3)+(AE$33*VALORI!$B$5),0)</f>
        <v>0</v>
      </c>
      <c r="AF73" s="28">
        <f>IF(AF18&gt;0, (AF$30*VALORI!$B$4)+(AF$31*VALORI!$B$4)+(AF$32*VALORI!$B$3)+(AF$33*VALORI!$B$5),0)</f>
        <v>0</v>
      </c>
      <c r="AG73" s="28">
        <f>IF(AG18&gt;0, (AG$30*VALORI!$B$4)+(AG$31*VALORI!$B$4)+(AG$32*VALORI!$B$3)+(AG$33*VALORI!$B$5),0)</f>
        <v>0</v>
      </c>
      <c r="AH73" s="28">
        <f>IF(AH18&gt;0, (AH$30*VALORI!$B$4)+(AH$31*VALORI!$B$4)+(AH$32*VALORI!$B$3)+(AH$33*VALORI!$B$5),0)</f>
        <v>0</v>
      </c>
      <c r="AI73" s="28">
        <f>IF(AI18&gt;0, (AI$30*VALORI!$B$4)+(AI$31*VALORI!$B$4)+(AI$32*VALORI!$B$3)+(AI$33*VALORI!$B$5),0)</f>
        <v>0</v>
      </c>
      <c r="AJ73" s="28">
        <f>IF(AJ18&gt;0, (AJ$30*VALORI!$B$4)+(AJ$31*VALORI!$B$4)+(AJ$32*VALORI!$B$3)+(AJ$33*VALORI!$B$5),0)</f>
        <v>0</v>
      </c>
      <c r="AK73" s="28">
        <f>IF(AK18&gt;0, (AK$30*VALORI!$B$4)+(AK$31*VALORI!$B$4)+(AK$32*VALORI!$B$3)+(AK$33*VALORI!$B$5),0)</f>
        <v>0</v>
      </c>
      <c r="AL73" s="28">
        <f>IF(AL18&gt;0, (AL$30*VALORI!$B$4)+(AL$31*VALORI!$B$4)+(AL$32*VALORI!$B$3)+(AL$33*VALORI!$B$5),0)</f>
        <v>0</v>
      </c>
      <c r="AM73" s="28">
        <f>IF(AM18&gt;0, (AM$30*VALORI!$B$4)+(AM$31*VALORI!$B$4)+(AM$32*VALORI!$B$3)+(AM$33*VALORI!$B$5),0)</f>
        <v>0</v>
      </c>
      <c r="AN73" s="28">
        <f>IF(AN18&gt;0, (AN$30*VALORI!$B$4)+(AN$31*VALORI!$B$4)+(AN$32*VALORI!$B$3)+(AN$33*VALORI!$B$5),0)</f>
        <v>0</v>
      </c>
      <c r="AO73" s="28">
        <f>IF(AO18&gt;0, (AO$30*VALORI!$B$4)+(AO$31*VALORI!$B$4)+(AO$32*VALORI!$B$3)+(AO$33*VALORI!$B$5),0)</f>
        <v>0</v>
      </c>
      <c r="AP73" s="28">
        <f>IF(AP18&gt;0, (AP$30*VALORI!$B$4)+(AP$31*VALORI!$B$4)+(AP$32*VALORI!$B$3)+(AP$33*VALORI!$B$5),0)</f>
        <v>0</v>
      </c>
      <c r="AQ73" s="28">
        <f>IF(AQ18&gt;0, (AQ$30*VALORI!$B$4)+(AQ$31*VALORI!$B$4)+(AQ$32*VALORI!$B$3)+(AQ$33*VALORI!$B$5),0)</f>
        <v>0</v>
      </c>
    </row>
    <row r="74" spans="23:43" ht="15.75" x14ac:dyDescent="0.25">
      <c r="W74" s="28">
        <f>IF(W19&gt;0, (W$30*VALORI!$B$4)+(W$31*VALORI!$B$4)+(W$32*VALORI!$B$3)+(W$33*VALORI!$B$5),0)</f>
        <v>0</v>
      </c>
      <c r="X74" s="28">
        <f>IF(X19&gt;0, (X$30*VALORI!$B$4)+(X$31*VALORI!$B$4)+(X$32*VALORI!$B$3)+(X$33*VALORI!$B$5),0)</f>
        <v>0</v>
      </c>
      <c r="Y74" s="28">
        <f>IF(Y19&gt;0, (Y$30*VALORI!$B$4)+(Y$31*VALORI!$B$4)+(Y$32*VALORI!$B$3)+(Y$33*VALORI!$B$5),0)</f>
        <v>0</v>
      </c>
      <c r="Z74" s="28">
        <f>IF(Z19&gt;0, (Z$30*VALORI!$B$4)+(Z$31*VALORI!$B$4)+(Z$32*VALORI!$B$3)+(Z$33*VALORI!$B$5),0)</f>
        <v>0</v>
      </c>
      <c r="AA74" s="28">
        <f>IF(AA19&gt;0, (AA$30*VALORI!$B$4)+(AA$31*VALORI!$B$4)+(AA$32*VALORI!$B$3)+(AA$33*VALORI!$B$5),0)</f>
        <v>0</v>
      </c>
      <c r="AB74" s="28">
        <f>IF(AB19&gt;0, (AB$30*VALORI!$B$4)+(AB$31*VALORI!$B$4)+(AB$32*VALORI!$B$3)+(AB$33*VALORI!$B$5),0)</f>
        <v>0</v>
      </c>
      <c r="AC74" s="28">
        <f>IF(AC19&gt;0, (AC$30*VALORI!$B$4)+(AC$31*VALORI!$B$4)+(AC$32*VALORI!$B$3)+(AC$33*VALORI!$B$5),0)</f>
        <v>0</v>
      </c>
      <c r="AD74" s="28">
        <f>IF(AD19&gt;0, (AD$30*VALORI!$B$4)+(AD$31*VALORI!$B$4)+(AD$32*VALORI!$B$3)+(AD$33*VALORI!$B$5),0)</f>
        <v>0</v>
      </c>
      <c r="AE74" s="28">
        <f>IF(AE19&gt;0, (AE$30*VALORI!$B$4)+(AE$31*VALORI!$B$4)+(AE$32*VALORI!$B$3)+(AE$33*VALORI!$B$5),0)</f>
        <v>0</v>
      </c>
      <c r="AF74" s="28">
        <f>IF(AF19&gt;0, (AF$30*VALORI!$B$4)+(AF$31*VALORI!$B$4)+(AF$32*VALORI!$B$3)+(AF$33*VALORI!$B$5),0)</f>
        <v>0</v>
      </c>
      <c r="AG74" s="28">
        <f>IF(AG19&gt;0, (AG$30*VALORI!$B$4)+(AG$31*VALORI!$B$4)+(AG$32*VALORI!$B$3)+(AG$33*VALORI!$B$5),0)</f>
        <v>0</v>
      </c>
      <c r="AH74" s="28">
        <f>IF(AH19&gt;0, (AH$30*VALORI!$B$4)+(AH$31*VALORI!$B$4)+(AH$32*VALORI!$B$3)+(AH$33*VALORI!$B$5),0)</f>
        <v>0</v>
      </c>
      <c r="AI74" s="28">
        <f>IF(AI19&gt;0, (AI$30*VALORI!$B$4)+(AI$31*VALORI!$B$4)+(AI$32*VALORI!$B$3)+(AI$33*VALORI!$B$5),0)</f>
        <v>0</v>
      </c>
      <c r="AJ74" s="28">
        <f>IF(AJ19&gt;0, (AJ$30*VALORI!$B$4)+(AJ$31*VALORI!$B$4)+(AJ$32*VALORI!$B$3)+(AJ$33*VALORI!$B$5),0)</f>
        <v>0</v>
      </c>
      <c r="AK74" s="28">
        <f>IF(AK19&gt;0, (AK$30*VALORI!$B$4)+(AK$31*VALORI!$B$4)+(AK$32*VALORI!$B$3)+(AK$33*VALORI!$B$5),0)</f>
        <v>0</v>
      </c>
      <c r="AL74" s="28">
        <f>IF(AL19&gt;0, (AL$30*VALORI!$B$4)+(AL$31*VALORI!$B$4)+(AL$32*VALORI!$B$3)+(AL$33*VALORI!$B$5),0)</f>
        <v>0</v>
      </c>
      <c r="AM74" s="28">
        <f>IF(AM19&gt;0, (AM$30*VALORI!$B$4)+(AM$31*VALORI!$B$4)+(AM$32*VALORI!$B$3)+(AM$33*VALORI!$B$5),0)</f>
        <v>0</v>
      </c>
      <c r="AN74" s="28">
        <f>IF(AN19&gt;0, (AN$30*VALORI!$B$4)+(AN$31*VALORI!$B$4)+(AN$32*VALORI!$B$3)+(AN$33*VALORI!$B$5),0)</f>
        <v>0</v>
      </c>
      <c r="AO74" s="28">
        <f>IF(AO19&gt;0, (AO$30*VALORI!$B$4)+(AO$31*VALORI!$B$4)+(AO$32*VALORI!$B$3)+(AO$33*VALORI!$B$5),0)</f>
        <v>0</v>
      </c>
      <c r="AP74" s="28">
        <f>IF(AP19&gt;0, (AP$30*VALORI!$B$4)+(AP$31*VALORI!$B$4)+(AP$32*VALORI!$B$3)+(AP$33*VALORI!$B$5),0)</f>
        <v>0</v>
      </c>
      <c r="AQ74" s="28">
        <f>IF(AQ19&gt;0, (AQ$30*VALORI!$B$4)+(AQ$31*VALORI!$B$4)+(AQ$32*VALORI!$B$3)+(AQ$33*VALORI!$B$5),0)</f>
        <v>0</v>
      </c>
    </row>
  </sheetData>
  <sheetProtection algorithmName="SHA-512" hashValue="DCRT85QHnnSidY1/M4Gj/zoSoNwVRkF0HNbKGKRTcmrb00Gut3xTBzmZevGjB6vQfV//ib4JnQxQmZDplCRw3Q==" saltValue="ZrANbsa6TQYKKzy5Xojocw==" spinCount="100000" sheet="1" objects="1" scenarios="1"/>
  <mergeCells count="2">
    <mergeCell ref="A1:U1"/>
    <mergeCell ref="O30:P33"/>
  </mergeCells>
  <pageMargins left="0.23622047244094491" right="0.23622047244094491" top="0.74803149606299213" bottom="0.74803149606299213" header="0.31496062992125984" footer="0.31496062992125984"/>
  <pageSetup paperSize="9" scale="60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2358-AC8E-4EA1-A25A-C9A97A5DD9D0}">
  <dimension ref="A1:AW74"/>
  <sheetViews>
    <sheetView zoomScale="70" zoomScaleNormal="70" workbookViewId="0">
      <selection activeCell="B2" sqref="B2"/>
    </sheetView>
  </sheetViews>
  <sheetFormatPr defaultColWidth="8.85546875" defaultRowHeight="15" x14ac:dyDescent="0.25"/>
  <cols>
    <col min="1" max="1" width="18.7109375" customWidth="1"/>
    <col min="2" max="3" width="18.7109375" bestFit="1" customWidth="1"/>
    <col min="4" max="4" width="13.42578125" bestFit="1" customWidth="1"/>
    <col min="5" max="5" width="12.42578125" bestFit="1" customWidth="1"/>
    <col min="6" max="6" width="46.5703125" customWidth="1"/>
    <col min="7" max="7" width="17.85546875" customWidth="1"/>
    <col min="8" max="8" width="5.28515625" customWidth="1"/>
    <col min="9" max="14" width="5.7109375" customWidth="1"/>
    <col min="15" max="16" width="14.42578125" bestFit="1" customWidth="1"/>
    <col min="17" max="18" width="13.140625" bestFit="1" customWidth="1"/>
    <col min="19" max="19" width="25.85546875" customWidth="1"/>
    <col min="20" max="21" width="14" bestFit="1" customWidth="1"/>
    <col min="23" max="24" width="12.140625" customWidth="1"/>
    <col min="25" max="26" width="12.140625" bestFit="1" customWidth="1"/>
    <col min="27" max="27" width="12.140625" customWidth="1"/>
    <col min="28" max="28" width="11.5703125" customWidth="1"/>
    <col min="29" max="33" width="12.140625" bestFit="1" customWidth="1"/>
    <col min="34" max="34" width="12.140625" customWidth="1"/>
    <col min="35" max="35" width="12.42578125" customWidth="1"/>
    <col min="36" max="37" width="12.140625" customWidth="1"/>
    <col min="38" max="39" width="13.28515625" style="84" customWidth="1"/>
    <col min="40" max="40" width="12.140625" customWidth="1"/>
    <col min="41" max="41" width="11.5703125" customWidth="1"/>
    <col min="42" max="42" width="1.5703125" customWidth="1"/>
    <col min="43" max="46" width="11.5703125" customWidth="1"/>
    <col min="47" max="47" width="1.5703125" customWidth="1"/>
    <col min="48" max="49" width="12.28515625" bestFit="1" customWidth="1"/>
  </cols>
  <sheetData>
    <row r="1" spans="1:49" ht="21.75" thickBot="1" x14ac:dyDescent="0.35">
      <c r="A1" s="215" t="s">
        <v>135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7"/>
      <c r="W1" s="51" t="s">
        <v>13</v>
      </c>
      <c r="X1" s="51" t="s">
        <v>13</v>
      </c>
      <c r="Y1" s="38" t="s">
        <v>13</v>
      </c>
      <c r="Z1" s="38" t="s">
        <v>13</v>
      </c>
      <c r="AA1" s="50" t="s">
        <v>13</v>
      </c>
      <c r="AB1" s="50"/>
      <c r="AC1" s="45" t="s">
        <v>13</v>
      </c>
      <c r="AD1" s="44" t="s">
        <v>13</v>
      </c>
      <c r="AE1" s="44" t="s">
        <v>13</v>
      </c>
      <c r="AF1" s="44" t="s">
        <v>13</v>
      </c>
      <c r="AG1" s="44" t="s">
        <v>13</v>
      </c>
      <c r="AH1" s="45" t="s">
        <v>13</v>
      </c>
      <c r="AI1" s="45" t="s">
        <v>13</v>
      </c>
      <c r="AJ1" s="46" t="s">
        <v>13</v>
      </c>
      <c r="AK1" s="46" t="s">
        <v>13</v>
      </c>
      <c r="AL1" s="46" t="s">
        <v>13</v>
      </c>
      <c r="AM1" s="46" t="s">
        <v>13</v>
      </c>
      <c r="AN1" s="46" t="s">
        <v>13</v>
      </c>
      <c r="AO1" s="37" t="s">
        <v>13</v>
      </c>
      <c r="AP1" s="47"/>
      <c r="AQ1" s="42" t="s">
        <v>13</v>
      </c>
      <c r="AR1" s="42" t="s">
        <v>13</v>
      </c>
      <c r="AS1" s="42" t="s">
        <v>13</v>
      </c>
      <c r="AT1" s="42" t="s">
        <v>13</v>
      </c>
      <c r="AU1" s="47"/>
      <c r="AV1" s="43" t="s">
        <v>13</v>
      </c>
      <c r="AW1" s="43" t="s">
        <v>13</v>
      </c>
    </row>
    <row r="2" spans="1:49" ht="200.25" customHeight="1" x14ac:dyDescent="0.25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/>
      <c r="I2" s="14" t="s">
        <v>21</v>
      </c>
      <c r="J2" s="14" t="s">
        <v>22</v>
      </c>
      <c r="K2" s="14" t="s">
        <v>23</v>
      </c>
      <c r="L2" s="14" t="s">
        <v>24</v>
      </c>
      <c r="M2" s="14" t="s">
        <v>25</v>
      </c>
      <c r="N2" s="14" t="s">
        <v>26</v>
      </c>
      <c r="O2" s="18" t="s">
        <v>27</v>
      </c>
      <c r="P2" s="15" t="s">
        <v>28</v>
      </c>
      <c r="Q2" s="20" t="s">
        <v>29</v>
      </c>
      <c r="R2" s="22" t="s">
        <v>30</v>
      </c>
      <c r="S2" s="21" t="s">
        <v>301</v>
      </c>
      <c r="T2" s="31" t="s">
        <v>31</v>
      </c>
      <c r="U2" s="31" t="s">
        <v>32</v>
      </c>
      <c r="W2" s="36" t="s">
        <v>33</v>
      </c>
      <c r="X2" s="36" t="s">
        <v>34</v>
      </c>
      <c r="Y2" s="36" t="s">
        <v>35</v>
      </c>
      <c r="Z2" s="36" t="s">
        <v>36</v>
      </c>
      <c r="AA2" s="36" t="s">
        <v>37</v>
      </c>
      <c r="AB2" s="36" t="s">
        <v>318</v>
      </c>
      <c r="AC2" s="36" t="s">
        <v>38</v>
      </c>
      <c r="AD2" s="36" t="s">
        <v>39</v>
      </c>
      <c r="AE2" s="36" t="s">
        <v>40</v>
      </c>
      <c r="AF2" s="36" t="s">
        <v>41</v>
      </c>
      <c r="AG2" s="36" t="s">
        <v>42</v>
      </c>
      <c r="AH2" s="36" t="s">
        <v>43</v>
      </c>
      <c r="AI2" s="36" t="s">
        <v>326</v>
      </c>
      <c r="AJ2" s="36" t="s">
        <v>44</v>
      </c>
      <c r="AK2" s="36" t="s">
        <v>45</v>
      </c>
      <c r="AL2" s="36" t="s">
        <v>298</v>
      </c>
      <c r="AM2" s="36" t="s">
        <v>302</v>
      </c>
      <c r="AN2" s="36" t="s">
        <v>46</v>
      </c>
      <c r="AO2" s="36" t="s">
        <v>47</v>
      </c>
      <c r="AP2" s="48"/>
      <c r="AQ2" s="36" t="s">
        <v>48</v>
      </c>
      <c r="AR2" s="36" t="s">
        <v>49</v>
      </c>
      <c r="AS2" s="36" t="s">
        <v>50</v>
      </c>
      <c r="AT2" s="36" t="s">
        <v>51</v>
      </c>
      <c r="AU2" s="48"/>
      <c r="AV2" s="36" t="s">
        <v>52</v>
      </c>
      <c r="AW2" s="36" t="s">
        <v>53</v>
      </c>
    </row>
    <row r="3" spans="1:49" ht="20.25" customHeight="1" x14ac:dyDescent="0.35">
      <c r="A3" s="11">
        <v>500</v>
      </c>
      <c r="B3" s="19" t="s">
        <v>54</v>
      </c>
      <c r="C3" s="19" t="s">
        <v>54</v>
      </c>
      <c r="D3" s="19" t="s">
        <v>54</v>
      </c>
      <c r="E3" s="19"/>
      <c r="F3" s="19" t="s">
        <v>54</v>
      </c>
      <c r="G3" s="19" t="s">
        <v>54</v>
      </c>
      <c r="H3" s="19"/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4">
        <f>(VALORI!B$3 * 'PASTA CORTA - ROMET'!I3) + (VALORI!B$4 * 'PASTA CORTA - ROMET'!J3) + (VALORI!B$4 * 'PASTA CORTA - ROMET'!K3) + (VALORI!B$5 * 'PASTA CORTA - ROMET'!L3) + (VALORI!B$6 * 'PASTA CORTA - ROMET'!M3) + (VALORI!B$7 * 'PASTA CORTA - ROMET'!N3)</f>
        <v>0</v>
      </c>
      <c r="P3" s="33">
        <f>(O3*25%)+O3</f>
        <v>0</v>
      </c>
      <c r="Q3" s="25">
        <v>0</v>
      </c>
      <c r="R3" s="26">
        <f>(Q3*15%)+Q3</f>
        <v>0</v>
      </c>
      <c r="S3" s="27"/>
      <c r="T3" s="28">
        <f t="shared" ref="T3:U18" si="0">O3+Q3</f>
        <v>0</v>
      </c>
      <c r="U3" s="28">
        <f t="shared" si="0"/>
        <v>0</v>
      </c>
      <c r="V3" s="35" t="s">
        <v>55</v>
      </c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49"/>
      <c r="AQ3" s="28"/>
      <c r="AR3" s="28"/>
      <c r="AS3" s="28"/>
      <c r="AT3" s="28"/>
      <c r="AU3" s="49"/>
      <c r="AV3" s="28"/>
      <c r="AW3" s="28"/>
    </row>
    <row r="4" spans="1:49" ht="20.25" customHeight="1" x14ac:dyDescent="0.35">
      <c r="A4" s="11">
        <v>750</v>
      </c>
      <c r="B4" s="19" t="s">
        <v>54</v>
      </c>
      <c r="C4" s="19" t="s">
        <v>54</v>
      </c>
      <c r="D4" s="19" t="s">
        <v>54</v>
      </c>
      <c r="E4" s="19" t="s">
        <v>54</v>
      </c>
      <c r="F4" s="19" t="s">
        <v>54</v>
      </c>
      <c r="G4" s="19" t="s">
        <v>54</v>
      </c>
      <c r="H4" s="19"/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4">
        <f>(VALORI!B$3 * 'PASTA CORTA - ROMET'!I4) + (VALORI!B$4 * 'PASTA CORTA - ROMET'!J4) + (VALORI!B$4 * 'PASTA CORTA - ROMET'!K4) + (VALORI!B$5 * 'PASTA CORTA - ROMET'!L4) + (VALORI!B$6 * 'PASTA CORTA - ROMET'!M4) + (VALORI!B$7 * 'PASTA CORTA - ROMET'!N4)</f>
        <v>0</v>
      </c>
      <c r="P4" s="33">
        <f t="shared" ref="P4:P18" si="1">(O4*25%)+O4</f>
        <v>0</v>
      </c>
      <c r="Q4" s="25">
        <v>0</v>
      </c>
      <c r="R4" s="26">
        <f t="shared" ref="R4:R18" si="2">(Q4*15%)+Q4</f>
        <v>0</v>
      </c>
      <c r="S4" s="27"/>
      <c r="T4" s="28">
        <f t="shared" si="0"/>
        <v>0</v>
      </c>
      <c r="U4" s="28">
        <f t="shared" si="0"/>
        <v>0</v>
      </c>
      <c r="V4" s="35" t="s">
        <v>55</v>
      </c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>
        <v>8000</v>
      </c>
      <c r="AP4" s="49"/>
      <c r="AQ4" s="28">
        <v>400</v>
      </c>
      <c r="AR4" s="28">
        <v>4800</v>
      </c>
      <c r="AS4" s="28">
        <v>1100</v>
      </c>
      <c r="AT4" s="28">
        <v>2880</v>
      </c>
      <c r="AU4" s="49"/>
      <c r="AV4" s="28">
        <v>36650</v>
      </c>
      <c r="AW4" s="28">
        <v>29290</v>
      </c>
    </row>
    <row r="5" spans="1:49" ht="20.25" customHeight="1" x14ac:dyDescent="0.35">
      <c r="A5" s="11">
        <v>1000</v>
      </c>
      <c r="B5" s="19" t="s">
        <v>54</v>
      </c>
      <c r="C5" s="19" t="s">
        <v>54</v>
      </c>
      <c r="D5" s="19" t="s">
        <v>54</v>
      </c>
      <c r="E5" s="19" t="s">
        <v>54</v>
      </c>
      <c r="F5" s="19" t="s">
        <v>54</v>
      </c>
      <c r="G5" s="19" t="s">
        <v>54</v>
      </c>
      <c r="H5" s="19"/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4">
        <f>(VALORI!B$3 * 'PASTA CORTA - ROMET'!I5) + (VALORI!B$4 * 'PASTA CORTA - ROMET'!J5) + (VALORI!B$4 * 'PASTA CORTA - ROMET'!K5) + (VALORI!B$5 * 'PASTA CORTA - ROMET'!L5) + (VALORI!B$6 * 'PASTA CORTA - ROMET'!M5) + (VALORI!B$7 * 'PASTA CORTA - ROMET'!N5)</f>
        <v>0</v>
      </c>
      <c r="P5" s="33">
        <f t="shared" si="1"/>
        <v>0</v>
      </c>
      <c r="Q5" s="25">
        <v>0</v>
      </c>
      <c r="R5" s="26">
        <f t="shared" si="2"/>
        <v>0</v>
      </c>
      <c r="S5" s="27"/>
      <c r="T5" s="28">
        <f t="shared" si="0"/>
        <v>0</v>
      </c>
      <c r="U5" s="28">
        <f t="shared" si="0"/>
        <v>0</v>
      </c>
      <c r="V5" s="35" t="s">
        <v>55</v>
      </c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>
        <v>8000</v>
      </c>
      <c r="AP5" s="49"/>
      <c r="AQ5" s="28">
        <v>400</v>
      </c>
      <c r="AR5" s="28">
        <v>4800</v>
      </c>
      <c r="AS5" s="28">
        <v>1100</v>
      </c>
      <c r="AT5" s="28">
        <v>2880</v>
      </c>
      <c r="AU5" s="49"/>
      <c r="AV5" s="28">
        <v>36650</v>
      </c>
      <c r="AW5" s="28">
        <v>29290</v>
      </c>
    </row>
    <row r="6" spans="1:49" ht="20.25" customHeight="1" x14ac:dyDescent="0.35">
      <c r="A6" s="11">
        <v>1500</v>
      </c>
      <c r="B6" s="19" t="s">
        <v>54</v>
      </c>
      <c r="C6" s="19" t="s">
        <v>54</v>
      </c>
      <c r="D6" s="19" t="s">
        <v>54</v>
      </c>
      <c r="E6" s="19" t="s">
        <v>54</v>
      </c>
      <c r="F6" s="19" t="s">
        <v>54</v>
      </c>
      <c r="G6" s="19" t="s">
        <v>54</v>
      </c>
      <c r="H6" s="19"/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4">
        <f>(VALORI!B$3 * 'PASTA CORTA - ROMET'!I6) + (VALORI!B$4 * 'PASTA CORTA - ROMET'!J6) + (VALORI!B$4 * 'PASTA CORTA - ROMET'!K6) + (VALORI!B$5 * 'PASTA CORTA - ROMET'!L6) + (VALORI!B$6 * 'PASTA CORTA - ROMET'!M6) + (VALORI!B$7 * 'PASTA CORTA - ROMET'!N6)</f>
        <v>0</v>
      </c>
      <c r="P6" s="33">
        <f t="shared" si="1"/>
        <v>0</v>
      </c>
      <c r="Q6" s="25">
        <v>0</v>
      </c>
      <c r="R6" s="26">
        <f t="shared" si="2"/>
        <v>0</v>
      </c>
      <c r="S6" s="27"/>
      <c r="T6" s="28">
        <f t="shared" si="0"/>
        <v>0</v>
      </c>
      <c r="U6" s="28">
        <f t="shared" si="0"/>
        <v>0</v>
      </c>
      <c r="V6" s="35" t="s">
        <v>55</v>
      </c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>
        <v>8000</v>
      </c>
      <c r="AP6" s="49"/>
      <c r="AQ6" s="28">
        <v>400</v>
      </c>
      <c r="AR6" s="28">
        <v>4800</v>
      </c>
      <c r="AS6" s="28">
        <v>1100</v>
      </c>
      <c r="AT6" s="28">
        <v>2880</v>
      </c>
      <c r="AU6" s="49"/>
      <c r="AV6" s="28">
        <v>36650</v>
      </c>
      <c r="AW6" s="28">
        <v>29290</v>
      </c>
    </row>
    <row r="7" spans="1:49" ht="20.25" customHeight="1" x14ac:dyDescent="0.35">
      <c r="A7" s="11">
        <v>2000</v>
      </c>
      <c r="B7" s="19" t="s">
        <v>54</v>
      </c>
      <c r="C7" s="19" t="s">
        <v>54</v>
      </c>
      <c r="D7" s="19" t="s">
        <v>54</v>
      </c>
      <c r="E7" s="19" t="s">
        <v>54</v>
      </c>
      <c r="F7" s="19" t="s">
        <v>54</v>
      </c>
      <c r="G7" s="19" t="s">
        <v>54</v>
      </c>
      <c r="H7" s="19"/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4">
        <f>(VALORI!B$3 * 'PASTA CORTA - ROMET'!I7) + (VALORI!B$4 * 'PASTA CORTA - ROMET'!J7) + (VALORI!B$4 * 'PASTA CORTA - ROMET'!K7) + (VALORI!B$5 * 'PASTA CORTA - ROMET'!L7) + (VALORI!B$6 * 'PASTA CORTA - ROMET'!M7) + (VALORI!B$7 * 'PASTA CORTA - ROMET'!N7)</f>
        <v>0</v>
      </c>
      <c r="P7" s="33">
        <f t="shared" si="1"/>
        <v>0</v>
      </c>
      <c r="Q7" s="25">
        <v>0</v>
      </c>
      <c r="R7" s="26">
        <f t="shared" si="2"/>
        <v>0</v>
      </c>
      <c r="S7" s="27"/>
      <c r="T7" s="28">
        <f t="shared" si="0"/>
        <v>0</v>
      </c>
      <c r="U7" s="28">
        <f t="shared" si="0"/>
        <v>0</v>
      </c>
      <c r="V7" s="35" t="s">
        <v>55</v>
      </c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>
        <v>8000</v>
      </c>
      <c r="AP7" s="49"/>
      <c r="AQ7" s="28">
        <v>400</v>
      </c>
      <c r="AR7" s="28">
        <v>4800</v>
      </c>
      <c r="AS7" s="28">
        <v>1100</v>
      </c>
      <c r="AT7" s="28">
        <v>2880</v>
      </c>
      <c r="AU7" s="49"/>
      <c r="AV7" s="28">
        <v>36650</v>
      </c>
      <c r="AW7" s="28">
        <v>29290</v>
      </c>
    </row>
    <row r="8" spans="1:49" ht="20.25" customHeight="1" x14ac:dyDescent="0.35">
      <c r="A8" s="54">
        <v>2500</v>
      </c>
      <c r="B8" s="55" t="s">
        <v>54</v>
      </c>
      <c r="C8" s="55" t="s">
        <v>54</v>
      </c>
      <c r="D8" s="55" t="s">
        <v>54</v>
      </c>
      <c r="E8" s="55" t="s">
        <v>54</v>
      </c>
      <c r="F8" s="55" t="s">
        <v>54</v>
      </c>
      <c r="G8" s="55" t="s">
        <v>54</v>
      </c>
      <c r="H8" s="55"/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56">
        <v>0</v>
      </c>
      <c r="O8" s="34">
        <f>(VALORI!B$3 * 'PASTA CORTA - ROMET'!I8) + (VALORI!B$4 * 'PASTA CORTA - ROMET'!J8) + (VALORI!B$4 * 'PASTA CORTA - ROMET'!K8) + (VALORI!B$5 * 'PASTA CORTA - ROMET'!L8) + (VALORI!B$6 * 'PASTA CORTA - ROMET'!M8) + (VALORI!B$7 * 'PASTA CORTA - ROMET'!N8)</f>
        <v>0</v>
      </c>
      <c r="P8" s="33">
        <f t="shared" si="1"/>
        <v>0</v>
      </c>
      <c r="Q8" s="25">
        <v>0</v>
      </c>
      <c r="R8" s="60">
        <f t="shared" si="2"/>
        <v>0</v>
      </c>
      <c r="S8" s="61"/>
      <c r="T8" s="62">
        <f t="shared" si="0"/>
        <v>0</v>
      </c>
      <c r="U8" s="62">
        <f t="shared" si="0"/>
        <v>0</v>
      </c>
      <c r="V8" s="35" t="s">
        <v>55</v>
      </c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>
        <v>8000</v>
      </c>
      <c r="AP8" s="63"/>
      <c r="AQ8" s="62">
        <v>400</v>
      </c>
      <c r="AR8" s="62">
        <v>4800</v>
      </c>
      <c r="AS8" s="62">
        <v>1100</v>
      </c>
      <c r="AT8" s="62">
        <v>2880</v>
      </c>
      <c r="AU8" s="63"/>
      <c r="AV8" s="62">
        <v>36650</v>
      </c>
      <c r="AW8" s="62">
        <v>29290</v>
      </c>
    </row>
    <row r="9" spans="1:49" s="5" customFormat="1" ht="20.25" customHeight="1" x14ac:dyDescent="0.35">
      <c r="A9" s="11">
        <v>3000</v>
      </c>
      <c r="B9" s="55" t="s">
        <v>54</v>
      </c>
      <c r="C9" s="55" t="s">
        <v>54</v>
      </c>
      <c r="D9" s="55" t="s">
        <v>54</v>
      </c>
      <c r="E9" s="55" t="s">
        <v>54</v>
      </c>
      <c r="F9" s="55" t="s">
        <v>54</v>
      </c>
      <c r="G9" s="55" t="s">
        <v>54</v>
      </c>
      <c r="H9" s="55"/>
      <c r="I9" s="56">
        <v>0</v>
      </c>
      <c r="J9" s="56">
        <v>0</v>
      </c>
      <c r="K9" s="56">
        <v>0</v>
      </c>
      <c r="L9" s="56">
        <v>0</v>
      </c>
      <c r="M9" s="56">
        <v>0</v>
      </c>
      <c r="N9" s="56">
        <v>0</v>
      </c>
      <c r="O9" s="34">
        <f>(VALORI!B$3 * 'PASTA CORTA - ROMET'!I9) + (VALORI!B$4 * 'PASTA CORTA - ROMET'!J9) + (VALORI!B$4 * 'PASTA CORTA - ROMET'!K9) + (VALORI!B$5 * 'PASTA CORTA - ROMET'!L9) + (VALORI!B$6 * 'PASTA CORTA - ROMET'!M9) + (VALORI!B$7 * 'PASTA CORTA - ROMET'!N9)</f>
        <v>0</v>
      </c>
      <c r="P9" s="33">
        <f t="shared" si="1"/>
        <v>0</v>
      </c>
      <c r="Q9" s="25">
        <v>0</v>
      </c>
      <c r="R9" s="26">
        <f t="shared" si="2"/>
        <v>0</v>
      </c>
      <c r="S9" s="27"/>
      <c r="T9" s="28">
        <f t="shared" si="0"/>
        <v>0</v>
      </c>
      <c r="U9" s="28">
        <f t="shared" si="0"/>
        <v>0</v>
      </c>
      <c r="V9" s="74" t="s">
        <v>55</v>
      </c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>
        <v>8000</v>
      </c>
      <c r="AP9" s="49"/>
      <c r="AQ9" s="28">
        <v>400</v>
      </c>
      <c r="AR9" s="28">
        <v>4800</v>
      </c>
      <c r="AS9" s="28">
        <v>1100</v>
      </c>
      <c r="AT9" s="28">
        <v>2880</v>
      </c>
      <c r="AU9" s="49"/>
      <c r="AV9" s="28">
        <v>36650</v>
      </c>
      <c r="AW9" s="28">
        <v>29290</v>
      </c>
    </row>
    <row r="10" spans="1:49" ht="20.25" customHeight="1" x14ac:dyDescent="0.35">
      <c r="A10" s="64">
        <v>3500</v>
      </c>
      <c r="B10" s="55" t="s">
        <v>86</v>
      </c>
      <c r="C10" s="55" t="s">
        <v>57</v>
      </c>
      <c r="D10" s="55" t="s">
        <v>87</v>
      </c>
      <c r="E10" s="55" t="s">
        <v>88</v>
      </c>
      <c r="F10" s="55" t="s">
        <v>136</v>
      </c>
      <c r="G10" s="55" t="s">
        <v>137</v>
      </c>
      <c r="H10" s="55"/>
      <c r="I10" s="56">
        <v>140</v>
      </c>
      <c r="J10" s="56">
        <v>60</v>
      </c>
      <c r="K10" s="56">
        <v>60</v>
      </c>
      <c r="L10" s="56">
        <v>520</v>
      </c>
      <c r="M10" s="56">
        <v>50</v>
      </c>
      <c r="N10" s="56">
        <v>100</v>
      </c>
      <c r="O10" s="34">
        <f>(VALORI!B$3 * 'PASTA CORTA - ROMET'!I10) + (VALORI!B$4 * 'PASTA CORTA - ROMET'!J10) + (VALORI!B$4 * 'PASTA CORTA - ROMET'!K10) + (VALORI!B$5 * 'PASTA CORTA - ROMET'!L10) + (VALORI!B$6 * 'PASTA CORTA - ROMET'!M10) + (VALORI!B$7 * 'PASTA CORTA - ROMET'!N10)</f>
        <v>30070</v>
      </c>
      <c r="P10" s="33">
        <f t="shared" si="1"/>
        <v>37587.5</v>
      </c>
      <c r="Q10" s="69">
        <v>96439.2</v>
      </c>
      <c r="R10" s="70">
        <f t="shared" si="2"/>
        <v>110905.08</v>
      </c>
      <c r="S10" s="27" t="s">
        <v>99</v>
      </c>
      <c r="T10" s="72">
        <f t="shared" si="0"/>
        <v>126509.2</v>
      </c>
      <c r="U10" s="72">
        <f t="shared" si="0"/>
        <v>148492.58000000002</v>
      </c>
      <c r="V10" s="35" t="s">
        <v>55</v>
      </c>
      <c r="W10" s="28">
        <f t="shared" ref="W10" si="3">(Q10*6%)</f>
        <v>5786.3519999999999</v>
      </c>
      <c r="X10" s="28">
        <f t="shared" ref="X10" si="4">(Q10*20%)</f>
        <v>19287.84</v>
      </c>
      <c r="Y10" s="28">
        <v>8000</v>
      </c>
      <c r="Z10" s="28">
        <f t="shared" ref="Z10" si="5">(Y10*65%)+Y10</f>
        <v>13200</v>
      </c>
      <c r="AA10" s="28">
        <v>3800</v>
      </c>
      <c r="AB10" s="28">
        <v>5500</v>
      </c>
      <c r="AC10" s="28">
        <v>1300</v>
      </c>
      <c r="AD10" s="28">
        <v>8000</v>
      </c>
      <c r="AE10" s="28">
        <v>2200</v>
      </c>
      <c r="AF10" s="28">
        <v>2800</v>
      </c>
      <c r="AG10" s="28">
        <v>1100</v>
      </c>
      <c r="AH10" s="28">
        <v>5000</v>
      </c>
      <c r="AI10" s="28">
        <v>4200</v>
      </c>
      <c r="AJ10" s="28">
        <v>1600</v>
      </c>
      <c r="AK10" s="28">
        <v>9000</v>
      </c>
      <c r="AL10" s="28">
        <v>1900</v>
      </c>
      <c r="AM10" s="28">
        <v>1900</v>
      </c>
      <c r="AN10" s="28" t="s">
        <v>63</v>
      </c>
      <c r="AO10" s="28">
        <v>8000</v>
      </c>
      <c r="AP10" s="73"/>
      <c r="AQ10" s="28">
        <v>400</v>
      </c>
      <c r="AR10" s="28">
        <v>4800</v>
      </c>
      <c r="AS10" s="28">
        <v>1100</v>
      </c>
      <c r="AT10" s="28">
        <v>2880</v>
      </c>
      <c r="AU10" s="73"/>
      <c r="AV10" s="28">
        <v>36650</v>
      </c>
      <c r="AW10" s="28">
        <v>29290</v>
      </c>
    </row>
    <row r="11" spans="1:49" ht="20.25" customHeight="1" x14ac:dyDescent="0.35">
      <c r="A11" s="11">
        <v>4000</v>
      </c>
      <c r="B11" s="55" t="s">
        <v>54</v>
      </c>
      <c r="C11" s="55" t="s">
        <v>54</v>
      </c>
      <c r="D11" s="55" t="s">
        <v>54</v>
      </c>
      <c r="E11" s="55" t="s">
        <v>54</v>
      </c>
      <c r="F11" s="55" t="s">
        <v>54</v>
      </c>
      <c r="G11" s="55" t="s">
        <v>54</v>
      </c>
      <c r="H11" s="55"/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34">
        <f>(VALORI!B$3 * 'PASTA CORTA - ROMET'!I11) + (VALORI!B$4 * 'PASTA CORTA - ROMET'!J11) + (VALORI!B$4 * 'PASTA CORTA - ROMET'!K11) + (VALORI!B$5 * 'PASTA CORTA - ROMET'!L11) + (VALORI!B$6 * 'PASTA CORTA - ROMET'!M11) + (VALORI!B$7 * 'PASTA CORTA - ROMET'!N11)</f>
        <v>0</v>
      </c>
      <c r="P11" s="33">
        <f t="shared" si="1"/>
        <v>0</v>
      </c>
      <c r="Q11" s="25">
        <v>0</v>
      </c>
      <c r="R11" s="26">
        <f t="shared" si="2"/>
        <v>0</v>
      </c>
      <c r="S11" s="27"/>
      <c r="T11" s="28">
        <f t="shared" si="0"/>
        <v>0</v>
      </c>
      <c r="U11" s="28">
        <f t="shared" si="0"/>
        <v>0</v>
      </c>
      <c r="V11" s="35" t="s">
        <v>55</v>
      </c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>
        <v>8000</v>
      </c>
      <c r="AP11" s="49"/>
      <c r="AQ11" s="28">
        <v>800</v>
      </c>
      <c r="AR11" s="28">
        <v>4800</v>
      </c>
      <c r="AS11" s="28">
        <v>1100</v>
      </c>
      <c r="AT11" s="28">
        <v>2880</v>
      </c>
      <c r="AU11" s="49"/>
      <c r="AV11" s="28">
        <v>36650</v>
      </c>
      <c r="AW11" s="28">
        <v>29290</v>
      </c>
    </row>
    <row r="12" spans="1:49" ht="20.25" customHeight="1" x14ac:dyDescent="0.35">
      <c r="A12" s="11">
        <v>4500</v>
      </c>
      <c r="B12" s="55" t="s">
        <v>54</v>
      </c>
      <c r="C12" s="55" t="s">
        <v>54</v>
      </c>
      <c r="D12" s="55" t="s">
        <v>54</v>
      </c>
      <c r="E12" s="55" t="s">
        <v>54</v>
      </c>
      <c r="F12" s="55" t="s">
        <v>54</v>
      </c>
      <c r="G12" s="55" t="s">
        <v>54</v>
      </c>
      <c r="H12" s="55"/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34">
        <f>(VALORI!B$3 * 'PASTA CORTA - ROMET'!I12) + (VALORI!B$4 * 'PASTA CORTA - ROMET'!J12) + (VALORI!B$4 * 'PASTA CORTA - ROMET'!K12) + (VALORI!B$5 * 'PASTA CORTA - ROMET'!L12) + (VALORI!B$6 * 'PASTA CORTA - ROMET'!M12) + (VALORI!B$7 * 'PASTA CORTA - ROMET'!N12)</f>
        <v>0</v>
      </c>
      <c r="P12" s="33">
        <f t="shared" si="1"/>
        <v>0</v>
      </c>
      <c r="Q12" s="25">
        <v>0</v>
      </c>
      <c r="R12" s="26">
        <f t="shared" si="2"/>
        <v>0</v>
      </c>
      <c r="S12" s="27"/>
      <c r="T12" s="28">
        <f t="shared" si="0"/>
        <v>0</v>
      </c>
      <c r="U12" s="28">
        <f t="shared" si="0"/>
        <v>0</v>
      </c>
      <c r="V12" s="35" t="s">
        <v>55</v>
      </c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>
        <v>8000</v>
      </c>
      <c r="AP12" s="49"/>
      <c r="AQ12" s="28">
        <v>800</v>
      </c>
      <c r="AR12" s="28">
        <v>4800</v>
      </c>
      <c r="AS12" s="28">
        <v>1100</v>
      </c>
      <c r="AT12" s="28">
        <v>2880</v>
      </c>
      <c r="AU12" s="49"/>
      <c r="AV12" s="28">
        <v>36650</v>
      </c>
      <c r="AW12" s="28">
        <v>29290</v>
      </c>
    </row>
    <row r="13" spans="1:49" ht="20.25" customHeight="1" x14ac:dyDescent="0.35">
      <c r="A13" s="11">
        <v>5000</v>
      </c>
      <c r="B13" s="55" t="s">
        <v>54</v>
      </c>
      <c r="C13" s="55" t="s">
        <v>54</v>
      </c>
      <c r="D13" s="55" t="s">
        <v>54</v>
      </c>
      <c r="E13" s="55" t="s">
        <v>54</v>
      </c>
      <c r="F13" s="55" t="s">
        <v>54</v>
      </c>
      <c r="G13" s="55" t="s">
        <v>54</v>
      </c>
      <c r="H13" s="55"/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34">
        <f>(VALORI!B$3 * 'PASTA CORTA - ROMET'!I13) + (VALORI!B$4 * 'PASTA CORTA - ROMET'!J13) + (VALORI!B$4 * 'PASTA CORTA - ROMET'!K13) + (VALORI!B$5 * 'PASTA CORTA - ROMET'!L13) + (VALORI!B$6 * 'PASTA CORTA - ROMET'!M13) + (VALORI!B$7 * 'PASTA CORTA - ROMET'!N13)</f>
        <v>0</v>
      </c>
      <c r="P13" s="33">
        <f t="shared" si="1"/>
        <v>0</v>
      </c>
      <c r="Q13" s="25">
        <v>0</v>
      </c>
      <c r="R13" s="26">
        <f t="shared" si="2"/>
        <v>0</v>
      </c>
      <c r="S13" s="27"/>
      <c r="T13" s="28">
        <f t="shared" si="0"/>
        <v>0</v>
      </c>
      <c r="U13" s="28">
        <f t="shared" si="0"/>
        <v>0</v>
      </c>
      <c r="V13" s="35" t="s">
        <v>55</v>
      </c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>
        <v>8000</v>
      </c>
      <c r="AP13" s="49"/>
      <c r="AQ13" s="28">
        <v>800</v>
      </c>
      <c r="AR13" s="28">
        <v>4800</v>
      </c>
      <c r="AS13" s="28">
        <v>1100</v>
      </c>
      <c r="AT13" s="28">
        <v>2880</v>
      </c>
      <c r="AU13" s="49"/>
      <c r="AV13" s="28">
        <v>36650</v>
      </c>
      <c r="AW13" s="28">
        <v>29290</v>
      </c>
    </row>
    <row r="14" spans="1:49" ht="20.25" customHeight="1" x14ac:dyDescent="0.35">
      <c r="A14" s="11">
        <v>5500</v>
      </c>
      <c r="B14" s="55" t="s">
        <v>54</v>
      </c>
      <c r="C14" s="55" t="s">
        <v>54</v>
      </c>
      <c r="D14" s="55" t="s">
        <v>54</v>
      </c>
      <c r="E14" s="55" t="s">
        <v>54</v>
      </c>
      <c r="F14" s="55" t="s">
        <v>54</v>
      </c>
      <c r="G14" s="55" t="s">
        <v>54</v>
      </c>
      <c r="H14" s="55"/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34">
        <f>(VALORI!B$3 * 'PASTA CORTA - ROMET'!I14) + (VALORI!B$4 * 'PASTA CORTA - ROMET'!J14) + (VALORI!B$4 * 'PASTA CORTA - ROMET'!K14) + (VALORI!B$5 * 'PASTA CORTA - ROMET'!L14) + (VALORI!B$6 * 'PASTA CORTA - ROMET'!M14) + (VALORI!B$7 * 'PASTA CORTA - ROMET'!N14)</f>
        <v>0</v>
      </c>
      <c r="P14" s="33">
        <f t="shared" si="1"/>
        <v>0</v>
      </c>
      <c r="Q14" s="25">
        <v>0</v>
      </c>
      <c r="R14" s="26">
        <f t="shared" si="2"/>
        <v>0</v>
      </c>
      <c r="S14" s="27"/>
      <c r="T14" s="28">
        <f t="shared" si="0"/>
        <v>0</v>
      </c>
      <c r="U14" s="28">
        <f t="shared" si="0"/>
        <v>0</v>
      </c>
      <c r="V14" s="35" t="s">
        <v>55</v>
      </c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>
        <v>8000</v>
      </c>
      <c r="AP14" s="49"/>
      <c r="AQ14" s="28">
        <v>800</v>
      </c>
      <c r="AR14" s="28">
        <v>4800</v>
      </c>
      <c r="AS14" s="28">
        <v>1100</v>
      </c>
      <c r="AT14" s="28">
        <v>2880</v>
      </c>
      <c r="AU14" s="49"/>
      <c r="AV14" s="28">
        <v>36650</v>
      </c>
      <c r="AW14" s="28">
        <v>29290</v>
      </c>
    </row>
    <row r="15" spans="1:49" ht="20.25" customHeight="1" x14ac:dyDescent="0.35">
      <c r="A15" s="11">
        <v>6000</v>
      </c>
      <c r="B15" s="55" t="s">
        <v>100</v>
      </c>
      <c r="C15" s="55" t="s">
        <v>57</v>
      </c>
      <c r="D15" s="55" t="s">
        <v>97</v>
      </c>
      <c r="E15" s="55" t="s">
        <v>101</v>
      </c>
      <c r="F15" s="55" t="s">
        <v>293</v>
      </c>
      <c r="G15" s="55" t="s">
        <v>103</v>
      </c>
      <c r="H15" s="55"/>
      <c r="I15" s="56">
        <v>150</v>
      </c>
      <c r="J15" s="56">
        <v>65</v>
      </c>
      <c r="K15" s="56">
        <v>65</v>
      </c>
      <c r="L15" s="56">
        <v>760</v>
      </c>
      <c r="M15" s="56">
        <v>60</v>
      </c>
      <c r="N15" s="56">
        <v>120</v>
      </c>
      <c r="O15" s="34">
        <f>(VALORI!B$3 * 'PASTA CORTA - ROMET'!I15) + (VALORI!B$4 * 'PASTA CORTA - ROMET'!J15) + (VALORI!B$4 * 'PASTA CORTA - ROMET'!K15) + (VALORI!B$5 * 'PASTA CORTA - ROMET'!L15) + (VALORI!B$6 * 'PASTA CORTA - ROMET'!M15) + (VALORI!B$7 * 'PASTA CORTA - ROMET'!N15)</f>
        <v>38830</v>
      </c>
      <c r="P15" s="33">
        <f t="shared" si="1"/>
        <v>48537.5</v>
      </c>
      <c r="Q15" s="25">
        <v>118747.2</v>
      </c>
      <c r="R15" s="70">
        <f t="shared" si="2"/>
        <v>136559.28</v>
      </c>
      <c r="S15" s="27" t="s">
        <v>294</v>
      </c>
      <c r="T15" s="28">
        <f t="shared" si="0"/>
        <v>157577.20000000001</v>
      </c>
      <c r="U15" s="28">
        <f t="shared" si="0"/>
        <v>185096.78</v>
      </c>
      <c r="V15" s="35" t="s">
        <v>55</v>
      </c>
      <c r="W15" s="28">
        <f t="shared" ref="W15" si="6">(Q15*6%)</f>
        <v>7124.8319999999994</v>
      </c>
      <c r="X15" s="28">
        <f t="shared" ref="X15" si="7">(Q15*20%)</f>
        <v>23749.440000000002</v>
      </c>
      <c r="Y15" s="28">
        <v>12000</v>
      </c>
      <c r="Z15" s="28">
        <f t="shared" ref="Z15" si="8">(Y15*65%)+Y15</f>
        <v>19800</v>
      </c>
      <c r="AA15" s="28">
        <v>3800</v>
      </c>
      <c r="AB15" s="28">
        <v>5500</v>
      </c>
      <c r="AC15" s="28">
        <v>1300</v>
      </c>
      <c r="AD15" s="28">
        <v>8000</v>
      </c>
      <c r="AE15" s="28">
        <v>2200</v>
      </c>
      <c r="AF15" s="28">
        <v>2800</v>
      </c>
      <c r="AG15" s="28">
        <v>1100</v>
      </c>
      <c r="AH15" s="28">
        <v>8000</v>
      </c>
      <c r="AI15" s="28">
        <v>4200</v>
      </c>
      <c r="AJ15" s="28">
        <v>2200</v>
      </c>
      <c r="AK15" s="28">
        <v>11000</v>
      </c>
      <c r="AL15" s="28">
        <v>3400</v>
      </c>
      <c r="AM15" s="28">
        <v>3400</v>
      </c>
      <c r="AN15" s="28" t="s">
        <v>63</v>
      </c>
      <c r="AO15" s="28">
        <v>8000</v>
      </c>
      <c r="AP15" s="49"/>
      <c r="AQ15" s="28">
        <v>800</v>
      </c>
      <c r="AR15" s="28">
        <v>4800</v>
      </c>
      <c r="AS15" s="28">
        <v>1100</v>
      </c>
      <c r="AT15" s="28">
        <v>2880</v>
      </c>
      <c r="AU15" s="49"/>
      <c r="AV15" s="28">
        <v>36650</v>
      </c>
      <c r="AW15" s="28">
        <v>29290</v>
      </c>
    </row>
    <row r="16" spans="1:49" ht="20.25" customHeight="1" x14ac:dyDescent="0.35">
      <c r="A16" s="11">
        <v>8000</v>
      </c>
      <c r="B16" s="55" t="s">
        <v>54</v>
      </c>
      <c r="C16" s="55" t="s">
        <v>54</v>
      </c>
      <c r="D16" s="55" t="s">
        <v>54</v>
      </c>
      <c r="E16" s="55"/>
      <c r="F16" s="55" t="s">
        <v>54</v>
      </c>
      <c r="G16" s="55" t="s">
        <v>54</v>
      </c>
      <c r="H16" s="55"/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34">
        <f>(VALORI!B$3 * 'PASTA CORTA - ROMET'!I16) + (VALORI!B$4 * 'PASTA CORTA - ROMET'!J16) + (VALORI!B$4 * 'PASTA CORTA - ROMET'!K16) + (VALORI!B$5 * 'PASTA CORTA - ROMET'!L16) + (VALORI!B$6 * 'PASTA CORTA - ROMET'!M16) + (VALORI!B$7 * 'PASTA CORTA - ROMET'!N16)</f>
        <v>0</v>
      </c>
      <c r="P16" s="33">
        <f t="shared" si="1"/>
        <v>0</v>
      </c>
      <c r="Q16" s="25">
        <v>0</v>
      </c>
      <c r="R16" s="26">
        <f t="shared" si="2"/>
        <v>0</v>
      </c>
      <c r="S16" s="27"/>
      <c r="T16" s="28">
        <f t="shared" si="0"/>
        <v>0</v>
      </c>
      <c r="U16" s="28">
        <f t="shared" si="0"/>
        <v>0</v>
      </c>
      <c r="V16" s="35" t="s">
        <v>55</v>
      </c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>
        <v>8000</v>
      </c>
      <c r="AP16" s="49"/>
      <c r="AQ16" s="28">
        <v>800</v>
      </c>
      <c r="AR16" s="28">
        <v>4800</v>
      </c>
      <c r="AS16" s="28">
        <v>1100</v>
      </c>
      <c r="AT16" s="28">
        <v>2880</v>
      </c>
      <c r="AU16" s="49"/>
      <c r="AV16" s="28">
        <v>36650</v>
      </c>
      <c r="AW16" s="28">
        <v>29290</v>
      </c>
    </row>
    <row r="17" spans="1:49" ht="20.25" customHeight="1" x14ac:dyDescent="0.35">
      <c r="A17" s="11">
        <v>9000</v>
      </c>
      <c r="B17" s="55" t="s">
        <v>54</v>
      </c>
      <c r="C17" s="55" t="s">
        <v>54</v>
      </c>
      <c r="D17" s="55" t="s">
        <v>54</v>
      </c>
      <c r="E17" s="55"/>
      <c r="F17" s="55" t="s">
        <v>54</v>
      </c>
      <c r="G17" s="55" t="s">
        <v>54</v>
      </c>
      <c r="H17" s="55"/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34">
        <f>(VALORI!B$3 * 'PASTA CORTA - ROMET'!I17) + (VALORI!B$4 * 'PASTA CORTA - ROMET'!J17) + (VALORI!B$4 * 'PASTA CORTA - ROMET'!K17) + (VALORI!B$5 * 'PASTA CORTA - ROMET'!L17) + (VALORI!B$6 * 'PASTA CORTA - ROMET'!M17) + (VALORI!B$7 * 'PASTA CORTA - ROMET'!N17)</f>
        <v>0</v>
      </c>
      <c r="P17" s="33">
        <f t="shared" si="1"/>
        <v>0</v>
      </c>
      <c r="Q17" s="25">
        <v>0</v>
      </c>
      <c r="R17" s="26">
        <f t="shared" si="2"/>
        <v>0</v>
      </c>
      <c r="S17" s="27"/>
      <c r="T17" s="28">
        <f t="shared" si="0"/>
        <v>0</v>
      </c>
      <c r="U17" s="28">
        <f t="shared" si="0"/>
        <v>0</v>
      </c>
      <c r="V17" s="35" t="s">
        <v>55</v>
      </c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>
        <v>8000</v>
      </c>
      <c r="AP17" s="49"/>
      <c r="AQ17" s="28">
        <v>1600</v>
      </c>
      <c r="AR17" s="28">
        <v>4800</v>
      </c>
      <c r="AS17" s="28">
        <v>1100</v>
      </c>
      <c r="AT17" s="28">
        <v>2880</v>
      </c>
      <c r="AU17" s="49"/>
      <c r="AV17" s="28">
        <v>36650</v>
      </c>
      <c r="AW17" s="28">
        <v>29290</v>
      </c>
    </row>
    <row r="18" spans="1:49" ht="20.25" customHeight="1" x14ac:dyDescent="0.35">
      <c r="A18" s="11">
        <v>12000</v>
      </c>
      <c r="B18" s="19" t="s">
        <v>54</v>
      </c>
      <c r="C18" s="19" t="s">
        <v>54</v>
      </c>
      <c r="D18" s="19" t="s">
        <v>54</v>
      </c>
      <c r="E18" s="19" t="s">
        <v>54</v>
      </c>
      <c r="F18" s="19" t="s">
        <v>54</v>
      </c>
      <c r="G18" s="19" t="s">
        <v>54</v>
      </c>
      <c r="H18" s="19"/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4">
        <f>(VALORI!B$3 * 'PASTA CORTA - ROMET'!I18) + (VALORI!B$4 * 'PASTA CORTA - ROMET'!J18) + (VALORI!B$4 * 'PASTA CORTA - ROMET'!K18) + (VALORI!B$5 * 'PASTA CORTA - ROMET'!L18) + (VALORI!B$6 * 'PASTA CORTA - ROMET'!M18) + (VALORI!B$7 * 'PASTA CORTA - ROMET'!N18)</f>
        <v>0</v>
      </c>
      <c r="P18" s="33">
        <f t="shared" si="1"/>
        <v>0</v>
      </c>
      <c r="Q18" s="25">
        <v>0</v>
      </c>
      <c r="R18" s="26">
        <f t="shared" si="2"/>
        <v>0</v>
      </c>
      <c r="S18" s="27"/>
      <c r="T18" s="28">
        <f t="shared" si="0"/>
        <v>0</v>
      </c>
      <c r="U18" s="28">
        <f t="shared" si="0"/>
        <v>0</v>
      </c>
      <c r="V18" s="35" t="s">
        <v>55</v>
      </c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>
        <v>8000</v>
      </c>
      <c r="AP18" s="49"/>
      <c r="AQ18" s="28">
        <v>1600</v>
      </c>
      <c r="AR18" s="28">
        <v>4800</v>
      </c>
      <c r="AS18" s="28">
        <v>1100</v>
      </c>
      <c r="AT18" s="28">
        <v>2880</v>
      </c>
      <c r="AU18" s="49"/>
      <c r="AV18" s="28">
        <v>36650</v>
      </c>
      <c r="AW18" s="28">
        <v>29290</v>
      </c>
    </row>
    <row r="19" spans="1:49" ht="15.75" x14ac:dyDescent="0.25">
      <c r="AL19"/>
      <c r="AM19"/>
      <c r="AP19" s="49"/>
      <c r="AU19" s="49"/>
    </row>
    <row r="20" spans="1:49" ht="15.75" x14ac:dyDescent="0.25">
      <c r="AL20"/>
      <c r="AM20"/>
      <c r="AP20" s="49"/>
      <c r="AU20" s="49"/>
    </row>
    <row r="21" spans="1:49" ht="15.75" x14ac:dyDescent="0.25">
      <c r="AL21"/>
      <c r="AM21"/>
      <c r="AP21" s="49"/>
      <c r="AU21" s="49"/>
    </row>
    <row r="22" spans="1:49" ht="15.75" x14ac:dyDescent="0.25">
      <c r="AL22"/>
      <c r="AM22"/>
      <c r="AP22" s="49"/>
      <c r="AU22" s="49"/>
    </row>
    <row r="23" spans="1:49" ht="15.75" x14ac:dyDescent="0.25">
      <c r="AL23"/>
      <c r="AM23"/>
      <c r="AP23" s="49"/>
      <c r="AU23" s="49"/>
    </row>
    <row r="24" spans="1:49" ht="15.75" x14ac:dyDescent="0.25">
      <c r="AL24"/>
      <c r="AM24"/>
      <c r="AP24" s="49"/>
      <c r="AU24" s="49"/>
    </row>
    <row r="25" spans="1:49" ht="15.75" x14ac:dyDescent="0.25">
      <c r="AL25"/>
      <c r="AM25"/>
      <c r="AP25" s="49"/>
      <c r="AU25" s="49"/>
    </row>
    <row r="26" spans="1:49" ht="15.75" x14ac:dyDescent="0.25">
      <c r="AL26"/>
      <c r="AM26"/>
      <c r="AP26" s="49"/>
      <c r="AU26" s="49"/>
    </row>
    <row r="27" spans="1:49" ht="15.75" x14ac:dyDescent="0.25">
      <c r="AL27"/>
      <c r="AM27"/>
      <c r="AP27" s="49"/>
      <c r="AU27" s="49"/>
    </row>
    <row r="28" spans="1:49" ht="15.75" x14ac:dyDescent="0.25">
      <c r="AL28"/>
      <c r="AM28"/>
      <c r="AP28" s="49"/>
      <c r="AU28" s="49"/>
    </row>
    <row r="29" spans="1:49" ht="15.75" x14ac:dyDescent="0.25">
      <c r="AL29"/>
      <c r="AM29"/>
      <c r="AP29" s="49"/>
      <c r="AU29" s="49"/>
    </row>
    <row r="30" spans="1:49" ht="15.75" customHeight="1" x14ac:dyDescent="0.25">
      <c r="O30" s="218" t="s">
        <v>115</v>
      </c>
      <c r="P30" s="219"/>
      <c r="Q30" s="28" t="s">
        <v>116</v>
      </c>
      <c r="R30" s="28" t="s">
        <v>63</v>
      </c>
      <c r="S30" s="5"/>
      <c r="T30" s="28"/>
      <c r="U30" s="28"/>
      <c r="V30" s="28"/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4</v>
      </c>
      <c r="AD30" s="53">
        <v>8</v>
      </c>
      <c r="AE30" s="53">
        <v>8</v>
      </c>
      <c r="AF30" s="53">
        <v>8</v>
      </c>
      <c r="AG30" s="53">
        <v>8</v>
      </c>
      <c r="AH30" s="53">
        <v>0</v>
      </c>
      <c r="AI30" s="53">
        <v>8</v>
      </c>
      <c r="AJ30" s="53">
        <v>4</v>
      </c>
      <c r="AK30" s="53">
        <v>30</v>
      </c>
      <c r="AL30" s="53">
        <v>1</v>
      </c>
      <c r="AM30" s="53">
        <v>1</v>
      </c>
      <c r="AN30" s="53"/>
      <c r="AO30" s="53">
        <v>0</v>
      </c>
      <c r="AP30" s="49"/>
      <c r="AQ30" s="53">
        <v>8</v>
      </c>
      <c r="AR30" s="53">
        <v>16</v>
      </c>
      <c r="AS30" s="53">
        <v>6</v>
      </c>
      <c r="AT30" s="53">
        <v>6</v>
      </c>
      <c r="AU30" s="49"/>
    </row>
    <row r="31" spans="1:49" ht="15.75" customHeight="1" x14ac:dyDescent="0.25">
      <c r="O31" s="220"/>
      <c r="P31" s="221"/>
      <c r="Q31" s="28" t="s">
        <v>117</v>
      </c>
      <c r="R31" s="28" t="s">
        <v>63</v>
      </c>
      <c r="S31" s="5"/>
      <c r="T31" s="28"/>
      <c r="U31" s="28"/>
      <c r="V31" s="28"/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8</v>
      </c>
      <c r="AD31" s="53">
        <v>8</v>
      </c>
      <c r="AE31" s="53">
        <v>8</v>
      </c>
      <c r="AF31" s="53">
        <v>8</v>
      </c>
      <c r="AG31" s="53">
        <v>8</v>
      </c>
      <c r="AH31" s="53">
        <v>0</v>
      </c>
      <c r="AI31" s="53">
        <v>8</v>
      </c>
      <c r="AJ31" s="53">
        <v>4</v>
      </c>
      <c r="AK31" s="53">
        <v>30</v>
      </c>
      <c r="AL31" s="53">
        <v>1</v>
      </c>
      <c r="AM31" s="53">
        <v>1</v>
      </c>
      <c r="AN31" s="53"/>
      <c r="AO31" s="53">
        <v>0</v>
      </c>
      <c r="AP31" s="49"/>
      <c r="AQ31" s="53">
        <v>8</v>
      </c>
      <c r="AR31" s="53">
        <v>16</v>
      </c>
      <c r="AS31" s="53">
        <v>6</v>
      </c>
      <c r="AT31" s="53">
        <v>6</v>
      </c>
      <c r="AU31" s="49"/>
    </row>
    <row r="32" spans="1:49" ht="15.75" customHeight="1" x14ac:dyDescent="0.25">
      <c r="O32" s="220"/>
      <c r="P32" s="221"/>
      <c r="Q32" s="28" t="s">
        <v>118</v>
      </c>
      <c r="R32" s="53">
        <v>30</v>
      </c>
      <c r="S32" s="5"/>
      <c r="T32" s="28"/>
      <c r="U32" s="28"/>
      <c r="V32" s="28"/>
      <c r="W32" s="53">
        <v>10</v>
      </c>
      <c r="X32" s="53">
        <v>30</v>
      </c>
      <c r="Y32" s="53">
        <v>8</v>
      </c>
      <c r="Z32" s="53">
        <v>8</v>
      </c>
      <c r="AA32" s="53">
        <v>8</v>
      </c>
      <c r="AB32" s="53">
        <v>2</v>
      </c>
      <c r="AC32" s="53">
        <v>6</v>
      </c>
      <c r="AD32" s="53">
        <v>8</v>
      </c>
      <c r="AE32" s="53">
        <v>10</v>
      </c>
      <c r="AF32" s="53">
        <v>10</v>
      </c>
      <c r="AG32" s="53">
        <v>10</v>
      </c>
      <c r="AH32" s="53">
        <v>4</v>
      </c>
      <c r="AI32" s="53">
        <v>8</v>
      </c>
      <c r="AJ32" s="53">
        <v>5</v>
      </c>
      <c r="AK32" s="53">
        <v>20</v>
      </c>
      <c r="AL32" s="53">
        <v>2</v>
      </c>
      <c r="AM32" s="53">
        <v>4</v>
      </c>
      <c r="AN32" s="53"/>
      <c r="AO32" s="53">
        <v>15</v>
      </c>
      <c r="AP32" s="49"/>
      <c r="AQ32" s="53">
        <v>8</v>
      </c>
      <c r="AR32" s="53">
        <v>16</v>
      </c>
      <c r="AS32" s="53">
        <v>6</v>
      </c>
      <c r="AT32" s="53">
        <v>6</v>
      </c>
      <c r="AU32" s="49"/>
    </row>
    <row r="33" spans="7:47" ht="15.75" customHeight="1" x14ac:dyDescent="0.25">
      <c r="O33" s="222"/>
      <c r="P33" s="223"/>
      <c r="Q33" s="28" t="s">
        <v>119</v>
      </c>
      <c r="R33" s="53">
        <v>90</v>
      </c>
      <c r="S33" s="5"/>
      <c r="T33" s="28"/>
      <c r="U33" s="28"/>
      <c r="V33" s="28"/>
      <c r="W33" s="53">
        <v>30</v>
      </c>
      <c r="X33" s="53">
        <v>90</v>
      </c>
      <c r="Y33" s="53">
        <v>24</v>
      </c>
      <c r="Z33" s="53">
        <v>24</v>
      </c>
      <c r="AA33" s="53">
        <v>20</v>
      </c>
      <c r="AB33" s="53">
        <v>1</v>
      </c>
      <c r="AC33" s="53">
        <v>4</v>
      </c>
      <c r="AD33" s="53">
        <v>50</v>
      </c>
      <c r="AE33" s="53">
        <v>10</v>
      </c>
      <c r="AF33" s="53">
        <v>5</v>
      </c>
      <c r="AG33" s="53">
        <v>5</v>
      </c>
      <c r="AH33" s="53">
        <v>0</v>
      </c>
      <c r="AI33" s="53">
        <v>24</v>
      </c>
      <c r="AJ33" s="53">
        <v>5</v>
      </c>
      <c r="AK33" s="53">
        <v>30</v>
      </c>
      <c r="AL33" s="53">
        <v>4</v>
      </c>
      <c r="AM33" s="53">
        <v>12</v>
      </c>
      <c r="AN33" s="53"/>
      <c r="AO33" s="53">
        <v>3</v>
      </c>
      <c r="AP33" s="49"/>
      <c r="AQ33" s="53">
        <v>20</v>
      </c>
      <c r="AR33" s="53">
        <v>50</v>
      </c>
      <c r="AS33" s="53">
        <v>20</v>
      </c>
      <c r="AT33" s="53">
        <v>20</v>
      </c>
      <c r="AU33" s="49"/>
    </row>
    <row r="34" spans="7:47" x14ac:dyDescent="0.25">
      <c r="AC34" s="52"/>
    </row>
    <row r="37" spans="7:47" ht="77.25" customHeight="1" x14ac:dyDescent="0.25">
      <c r="G37" t="s">
        <v>138</v>
      </c>
      <c r="I37" s="3">
        <v>30</v>
      </c>
      <c r="J37" s="3">
        <v>50</v>
      </c>
      <c r="K37" s="3">
        <v>50</v>
      </c>
      <c r="L37" s="3">
        <v>0</v>
      </c>
      <c r="M37" s="3">
        <v>0</v>
      </c>
      <c r="N37" s="3">
        <v>0</v>
      </c>
      <c r="O37" s="85">
        <v>44731</v>
      </c>
      <c r="P37" t="s">
        <v>303</v>
      </c>
      <c r="Q37" s="85" t="s">
        <v>344</v>
      </c>
      <c r="R37" s="85" t="s">
        <v>345</v>
      </c>
      <c r="W37" s="94" t="s">
        <v>339</v>
      </c>
      <c r="X37" s="94" t="s">
        <v>339</v>
      </c>
      <c r="Y37" s="94" t="s">
        <v>339</v>
      </c>
      <c r="Z37" s="94" t="s">
        <v>339</v>
      </c>
      <c r="AA37" s="94" t="s">
        <v>339</v>
      </c>
      <c r="AB37" s="94" t="s">
        <v>339</v>
      </c>
      <c r="AC37" s="94" t="s">
        <v>339</v>
      </c>
      <c r="AD37" s="94" t="s">
        <v>339</v>
      </c>
      <c r="AE37" s="94" t="s">
        <v>339</v>
      </c>
      <c r="AF37" s="94" t="s">
        <v>339</v>
      </c>
      <c r="AG37" s="94" t="s">
        <v>339</v>
      </c>
      <c r="AH37" s="94" t="s">
        <v>339</v>
      </c>
      <c r="AI37" s="94" t="s">
        <v>339</v>
      </c>
      <c r="AJ37" s="94" t="s">
        <v>339</v>
      </c>
      <c r="AK37" s="94" t="s">
        <v>339</v>
      </c>
      <c r="AL37" s="94" t="s">
        <v>339</v>
      </c>
      <c r="AM37" s="94" t="s">
        <v>339</v>
      </c>
      <c r="AN37" s="94" t="s">
        <v>339</v>
      </c>
      <c r="AO37" s="94" t="s">
        <v>339</v>
      </c>
    </row>
    <row r="38" spans="7:47" ht="15.75" x14ac:dyDescent="0.25">
      <c r="O38" s="25">
        <v>0</v>
      </c>
      <c r="P38" s="25">
        <f>(O38*10%)+O38</f>
        <v>0</v>
      </c>
      <c r="Q38" s="25">
        <f>(P38*4%)+P38</f>
        <v>0</v>
      </c>
      <c r="R38" s="25">
        <f>(Q38*3%)+Q38</f>
        <v>0</v>
      </c>
      <c r="U38" s="52"/>
      <c r="W38" s="28">
        <f>IF(W3&gt;0, W3-(W$30*VALORI!$B$4)-(W$31*VALORI!$B$4)-(W$32*VALORI!$B$3)-(W$33*VALORI!$B$5),0)</f>
        <v>0</v>
      </c>
      <c r="X38" s="28">
        <f>IF(X3&gt;0, X3-(X$30*VALORI!$B$4)-(X$31*VALORI!$B$4)-(X$32*VALORI!$B$3)-(X$33*VALORI!$B$5),0)</f>
        <v>0</v>
      </c>
      <c r="Y38" s="28">
        <f>IF(Y3&gt;0, Y3-(Y$30*VALORI!$B$4)-(Y$31*VALORI!$B$4)-(Y$32*VALORI!$B$3)-(Y$33*VALORI!$B$5),0)</f>
        <v>0</v>
      </c>
      <c r="Z38" s="28">
        <f>IF(Z3&gt;0, Z3-(Z$30*VALORI!$B$4)-(Z$31*VALORI!$B$4)-(Z$32*VALORI!$B$3)-(Z$33*VALORI!$B$5),0)</f>
        <v>0</v>
      </c>
      <c r="AA38" s="28">
        <f>IF(AA3&gt;0, AA3-(AA$30*VALORI!$B$4)-(AA$31*VALORI!$B$4)-(AA$32*VALORI!$B$3)-(AA$33*VALORI!$B$5),0)</f>
        <v>0</v>
      </c>
      <c r="AB38" s="28">
        <f>IF(AB3&gt;0, AB3-(AB$30*VALORI!$B$4)-(AB$31*VALORI!$B$4)-(AB$32*VALORI!$B$3)-(AB$33*VALORI!$B$5),0)</f>
        <v>0</v>
      </c>
      <c r="AC38" s="28">
        <f>IF(AC3&gt;0, AC3-(AC$30*VALORI!$B$4)-(AC$31*VALORI!$B$4)-(AC$32*VALORI!$B$3)-(AC$33*VALORI!$B$5),0)</f>
        <v>0</v>
      </c>
      <c r="AD38" s="28">
        <f>IF(AD3&gt;0, AD3-(AD$30*VALORI!$B$4)-(AD$31*VALORI!$B$4)-(AD$32*VALORI!$B$3)-(AD$33*VALORI!$B$5),0)</f>
        <v>0</v>
      </c>
      <c r="AE38" s="28">
        <f>IF(AE3&gt;0, AE3-(AE$30*VALORI!$B$4)-(AE$31*VALORI!$B$4)-(AE$32*VALORI!$B$3)-(AE$33*VALORI!$B$5),0)</f>
        <v>0</v>
      </c>
      <c r="AF38" s="28">
        <f>IF(AF3&gt;0, AF3-(AF$30*VALORI!$B$4)-(AF$31*VALORI!$B$4)-(AF$32*VALORI!$B$3)-(AF$33*VALORI!$B$5),0)</f>
        <v>0</v>
      </c>
      <c r="AG38" s="28">
        <f>IF(AG3&gt;0, AG3-(AG$30*VALORI!$B$4)-(AG$31*VALORI!$B$4)-(AG$32*VALORI!$B$3)-(AG$33*VALORI!$B$5),0)</f>
        <v>0</v>
      </c>
      <c r="AH38" s="28">
        <f>IF(AH3&gt;0, AH3-(AH$30*VALORI!$B$4)-(AH$31*VALORI!$B$4)-(AH$32*VALORI!$B$3)-(AH$33*VALORI!$B$5),0)</f>
        <v>0</v>
      </c>
      <c r="AI38" s="28">
        <f>IF(AI3&gt;0, AI3-(AI$30*VALORI!$B$4)-(AI$31*VALORI!$B$4)-(AI$32*VALORI!$B$3)-(AI$33*VALORI!$B$5),0)</f>
        <v>0</v>
      </c>
      <c r="AJ38" s="28">
        <f>IF(AJ3&gt;0, AJ3-(AJ$30*VALORI!$B$4)-(AJ$31*VALORI!$B$4)-(AJ$32*VALORI!$B$3)-(AJ$33*VALORI!$B$5),0)</f>
        <v>0</v>
      </c>
      <c r="AK38" s="28">
        <f>IF(AK3&gt;0, AK3-(AK$30*VALORI!$B$4)-(AK$31*VALORI!$B$4)-(AK$32*VALORI!$B$3)-(AK$33*VALORI!$B$5),0)</f>
        <v>0</v>
      </c>
      <c r="AL38" s="28">
        <f>IF(AL3&gt;0, AL3-(AL$30*VALORI!$B$4)-(AL$31*VALORI!$B$4)-(AL$32*VALORI!$B$3)-(AL$33*VALORI!$B$5),0)</f>
        <v>0</v>
      </c>
      <c r="AM38" s="28">
        <f>IF(AM3&gt;0, AM3-(AM$30*VALORI!$B$4)-(AM$31*VALORI!$B$4)-(AM$32*VALORI!$B$3)-(AM$33*VALORI!$B$5),0)</f>
        <v>0</v>
      </c>
      <c r="AN38" s="28">
        <f>IF(AN3&gt;0, AN3-(AN$30*VALORI!$B$4)-(AN$31*VALORI!$B$4)-(AN$32*VALORI!$B$3)-(AN$33*VALORI!$B$5),0)</f>
        <v>0</v>
      </c>
      <c r="AO38" s="28">
        <f>IF(AO3&gt;0, AO3-(AO$30*VALORI!$B$4)-(AO$31*VALORI!$B$4)-(AO$32*VALORI!$B$3)-(AO$33*VALORI!$B$5),0)</f>
        <v>0</v>
      </c>
    </row>
    <row r="39" spans="7:47" ht="15.75" x14ac:dyDescent="0.25">
      <c r="O39" s="25">
        <v>0</v>
      </c>
      <c r="P39" s="25">
        <f>(O39*10%)+O39</f>
        <v>0</v>
      </c>
      <c r="Q39" s="25">
        <f t="shared" ref="Q39:Q53" si="9">(P39*4%)+P39</f>
        <v>0</v>
      </c>
      <c r="R39" s="25">
        <f t="shared" ref="R39:R53" si="10">(Q39*3%)+Q39</f>
        <v>0</v>
      </c>
      <c r="W39" s="28">
        <f>IF(W4&gt;0, W4-(W$30*VALORI!$B$4)-(W$31*VALORI!$B$4)-(W$32*VALORI!$B$3)-(W$33*VALORI!$B$5),0)</f>
        <v>0</v>
      </c>
      <c r="X39" s="28">
        <f>IF(X4&gt;0, X4-(X$30*VALORI!$B$4)-(X$31*VALORI!$B$4)-(X$32*VALORI!$B$3)-(X$33*VALORI!$B$5),0)</f>
        <v>0</v>
      </c>
      <c r="Y39" s="28">
        <f>IF(Y4&gt;0, Y4-(Y$30*VALORI!$B$4)-(Y$31*VALORI!$B$4)-(Y$32*VALORI!$B$3)-(Y$33*VALORI!$B$5),0)</f>
        <v>0</v>
      </c>
      <c r="Z39" s="28">
        <f>IF(Z4&gt;0, Z4-(Z$30*VALORI!$B$4)-(Z$31*VALORI!$B$4)-(Z$32*VALORI!$B$3)-(Z$33*VALORI!$B$5),0)</f>
        <v>0</v>
      </c>
      <c r="AA39" s="28">
        <f>IF(AA4&gt;0, AA4-(AA$30*VALORI!$B$4)-(AA$31*VALORI!$B$4)-(AA$32*VALORI!$B$3)-(AA$33*VALORI!$B$5),0)</f>
        <v>0</v>
      </c>
      <c r="AB39" s="28">
        <f>IF(AB4&gt;0, AB4-(AB$30*VALORI!$B$4)-(AB$31*VALORI!$B$4)-(AB$32*VALORI!$B$3)-(AB$33*VALORI!$B$5),0)</f>
        <v>0</v>
      </c>
      <c r="AC39" s="28">
        <f>IF(AC4&gt;0, AC4-(AC$30*VALORI!$B$4)-(AC$31*VALORI!$B$4)-(AC$32*VALORI!$B$3)-(AC$33*VALORI!$B$5),0)</f>
        <v>0</v>
      </c>
      <c r="AD39" s="28">
        <f>IF(AD4&gt;0, AD4-(AD$30*VALORI!$B$4)-(AD$31*VALORI!$B$4)-(AD$32*VALORI!$B$3)-(AD$33*VALORI!$B$5),0)</f>
        <v>0</v>
      </c>
      <c r="AE39" s="28">
        <f>IF(AE4&gt;0, AE4-(AE$30*VALORI!$B$4)-(AE$31*VALORI!$B$4)-(AE$32*VALORI!$B$3)-(AE$33*VALORI!$B$5),0)</f>
        <v>0</v>
      </c>
      <c r="AF39" s="28">
        <f>IF(AF4&gt;0, AF4-(AF$30*VALORI!$B$4)-(AF$31*VALORI!$B$4)-(AF$32*VALORI!$B$3)-(AF$33*VALORI!$B$5),0)</f>
        <v>0</v>
      </c>
      <c r="AG39" s="28">
        <f>IF(AG4&gt;0, AG4-(AG$30*VALORI!$B$4)-(AG$31*VALORI!$B$4)-(AG$32*VALORI!$B$3)-(AG$33*VALORI!$B$5),0)</f>
        <v>0</v>
      </c>
      <c r="AH39" s="28">
        <f>IF(AH4&gt;0, AH4-(AH$30*VALORI!$B$4)-(AH$31*VALORI!$B$4)-(AH$32*VALORI!$B$3)-(AH$33*VALORI!$B$5),0)</f>
        <v>0</v>
      </c>
      <c r="AI39" s="28">
        <f>IF(AI4&gt;0, AI4-(AI$30*VALORI!$B$4)-(AI$31*VALORI!$B$4)-(AI$32*VALORI!$B$3)-(AI$33*VALORI!$B$5),0)</f>
        <v>0</v>
      </c>
      <c r="AJ39" s="28">
        <f>IF(AJ4&gt;0, AJ4-(AJ$30*VALORI!$B$4)-(AJ$31*VALORI!$B$4)-(AJ$32*VALORI!$B$3)-(AJ$33*VALORI!$B$5),0)</f>
        <v>0</v>
      </c>
      <c r="AK39" s="28">
        <f>IF(AK4&gt;0, AK4-(AK$30*VALORI!$B$4)-(AK$31*VALORI!$B$4)-(AK$32*VALORI!$B$3)-(AK$33*VALORI!$B$5),0)</f>
        <v>0</v>
      </c>
      <c r="AL39" s="28">
        <f>IF(AL4&gt;0, AL4-(AL$30*VALORI!$B$4)-(AL$31*VALORI!$B$4)-(AL$32*VALORI!$B$3)-(AL$33*VALORI!$B$5),0)</f>
        <v>0</v>
      </c>
      <c r="AM39" s="28">
        <f>IF(AM4&gt;0, AM4-(AM$30*VALORI!$B$4)-(AM$31*VALORI!$B$4)-(AM$32*VALORI!$B$3)-(AM$33*VALORI!$B$5),0)</f>
        <v>0</v>
      </c>
      <c r="AN39" s="28">
        <f>IF(AN4&gt;0, AN4-(AN$30*VALORI!$B$4)-(AN$31*VALORI!$B$4)-(AN$32*VALORI!$B$3)-(AN$33*VALORI!$B$5),0)</f>
        <v>0</v>
      </c>
      <c r="AO39" s="28">
        <f>IF(AO4&gt;0, AO4-(AO$30*VALORI!$B$4)-(AO$31*VALORI!$B$4)-(AO$32*VALORI!$B$3)-(AO$33*VALORI!$B$5),0)</f>
        <v>7358</v>
      </c>
    </row>
    <row r="40" spans="7:47" ht="15.75" x14ac:dyDescent="0.25">
      <c r="O40" s="25">
        <v>0</v>
      </c>
      <c r="P40" s="25">
        <f t="shared" ref="P40:P53" si="11">(O40*10%)+O40</f>
        <v>0</v>
      </c>
      <c r="Q40" s="25">
        <f t="shared" si="9"/>
        <v>0</v>
      </c>
      <c r="R40" s="25">
        <f t="shared" si="10"/>
        <v>0</v>
      </c>
      <c r="W40" s="28">
        <f>IF(W5&gt;0, W5-(W$30*VALORI!$B$4)-(W$31*VALORI!$B$4)-(W$32*VALORI!$B$3)-(W$33*VALORI!$B$5),0)</f>
        <v>0</v>
      </c>
      <c r="X40" s="28">
        <f>IF(X5&gt;0, X5-(X$30*VALORI!$B$4)-(X$31*VALORI!$B$4)-(X$32*VALORI!$B$3)-(X$33*VALORI!$B$5),0)</f>
        <v>0</v>
      </c>
      <c r="Y40" s="28">
        <f>IF(Y5&gt;0, Y5-(Y$30*VALORI!$B$4)-(Y$31*VALORI!$B$4)-(Y$32*VALORI!$B$3)-(Y$33*VALORI!$B$5),0)</f>
        <v>0</v>
      </c>
      <c r="Z40" s="28">
        <f>IF(Z5&gt;0, Z5-(Z$30*VALORI!$B$4)-(Z$31*VALORI!$B$4)-(Z$32*VALORI!$B$3)-(Z$33*VALORI!$B$5),0)</f>
        <v>0</v>
      </c>
      <c r="AA40" s="28">
        <f>IF(AA5&gt;0, AA5-(AA$30*VALORI!$B$4)-(AA$31*VALORI!$B$4)-(AA$32*VALORI!$B$3)-(AA$33*VALORI!$B$5),0)</f>
        <v>0</v>
      </c>
      <c r="AB40" s="28">
        <f>IF(AB5&gt;0, AB5-(AB$30*VALORI!$B$4)-(AB$31*VALORI!$B$4)-(AB$32*VALORI!$B$3)-(AB$33*VALORI!$B$5),0)</f>
        <v>0</v>
      </c>
      <c r="AC40" s="28">
        <f>IF(AC5&gt;0, AC5-(AC$30*VALORI!$B$4)-(AC$31*VALORI!$B$4)-(AC$32*VALORI!$B$3)-(AC$33*VALORI!$B$5),0)</f>
        <v>0</v>
      </c>
      <c r="AD40" s="28">
        <f>IF(AD5&gt;0, AD5-(AD$30*VALORI!$B$4)-(AD$31*VALORI!$B$4)-(AD$32*VALORI!$B$3)-(AD$33*VALORI!$B$5),0)</f>
        <v>0</v>
      </c>
      <c r="AE40" s="28">
        <f>IF(AE5&gt;0, AE5-(AE$30*VALORI!$B$4)-(AE$31*VALORI!$B$4)-(AE$32*VALORI!$B$3)-(AE$33*VALORI!$B$5),0)</f>
        <v>0</v>
      </c>
      <c r="AF40" s="28">
        <f>IF(AF5&gt;0, AF5-(AF$30*VALORI!$B$4)-(AF$31*VALORI!$B$4)-(AF$32*VALORI!$B$3)-(AF$33*VALORI!$B$5),0)</f>
        <v>0</v>
      </c>
      <c r="AG40" s="28">
        <f>IF(AG5&gt;0, AG5-(AG$30*VALORI!$B$4)-(AG$31*VALORI!$B$4)-(AG$32*VALORI!$B$3)-(AG$33*VALORI!$B$5),0)</f>
        <v>0</v>
      </c>
      <c r="AH40" s="28">
        <f>IF(AH5&gt;0, AH5-(AH$30*VALORI!$B$4)-(AH$31*VALORI!$B$4)-(AH$32*VALORI!$B$3)-(AH$33*VALORI!$B$5),0)</f>
        <v>0</v>
      </c>
      <c r="AI40" s="28">
        <f>IF(AI5&gt;0, AI5-(AI$30*VALORI!$B$4)-(AI$31*VALORI!$B$4)-(AI$32*VALORI!$B$3)-(AI$33*VALORI!$B$5),0)</f>
        <v>0</v>
      </c>
      <c r="AJ40" s="28">
        <f>IF(AJ5&gt;0, AJ5-(AJ$30*VALORI!$B$4)-(AJ$31*VALORI!$B$4)-(AJ$32*VALORI!$B$3)-(AJ$33*VALORI!$B$5),0)</f>
        <v>0</v>
      </c>
      <c r="AK40" s="28">
        <f>IF(AK5&gt;0, AK5-(AK$30*VALORI!$B$4)-(AK$31*VALORI!$B$4)-(AK$32*VALORI!$B$3)-(AK$33*VALORI!$B$5),0)</f>
        <v>0</v>
      </c>
      <c r="AL40" s="28">
        <f>IF(AL5&gt;0, AL5-(AL$30*VALORI!$B$4)-(AL$31*VALORI!$B$4)-(AL$32*VALORI!$B$3)-(AL$33*VALORI!$B$5),0)</f>
        <v>0</v>
      </c>
      <c r="AM40" s="28">
        <f>IF(AM5&gt;0, AM5-(AM$30*VALORI!$B$4)-(AM$31*VALORI!$B$4)-(AM$32*VALORI!$B$3)-(AM$33*VALORI!$B$5),0)</f>
        <v>0</v>
      </c>
      <c r="AN40" s="28">
        <f>IF(AN5&gt;0, AN5-(AN$30*VALORI!$B$4)-(AN$31*VALORI!$B$4)-(AN$32*VALORI!$B$3)-(AN$33*VALORI!$B$5),0)</f>
        <v>0</v>
      </c>
      <c r="AO40" s="28">
        <f>IF(AO5&gt;0, AO5-(AO$30*VALORI!$B$4)-(AO$31*VALORI!$B$4)-(AO$32*VALORI!$B$3)-(AO$33*VALORI!$B$5),0)</f>
        <v>7358</v>
      </c>
    </row>
    <row r="41" spans="7:47" ht="15.75" x14ac:dyDescent="0.25">
      <c r="O41" s="25">
        <v>0</v>
      </c>
      <c r="P41" s="25">
        <f t="shared" si="11"/>
        <v>0</v>
      </c>
      <c r="Q41" s="25">
        <f t="shared" si="9"/>
        <v>0</v>
      </c>
      <c r="R41" s="25">
        <f t="shared" si="10"/>
        <v>0</v>
      </c>
      <c r="W41" s="28">
        <f>IF(W6&gt;0, W6-(W$30*VALORI!$B$4)-(W$31*VALORI!$B$4)-(W$32*VALORI!$B$3)-(W$33*VALORI!$B$5),0)</f>
        <v>0</v>
      </c>
      <c r="X41" s="28">
        <f>IF(X6&gt;0, X6-(X$30*VALORI!$B$4)-(X$31*VALORI!$B$4)-(X$32*VALORI!$B$3)-(X$33*VALORI!$B$5),0)</f>
        <v>0</v>
      </c>
      <c r="Y41" s="28">
        <f>IF(Y6&gt;0, Y6-(Y$30*VALORI!$B$4)-(Y$31*VALORI!$B$4)-(Y$32*VALORI!$B$3)-(Y$33*VALORI!$B$5),0)</f>
        <v>0</v>
      </c>
      <c r="Z41" s="28">
        <f>IF(Z6&gt;0, Z6-(Z$30*VALORI!$B$4)-(Z$31*VALORI!$B$4)-(Z$32*VALORI!$B$3)-(Z$33*VALORI!$B$5),0)</f>
        <v>0</v>
      </c>
      <c r="AA41" s="28">
        <f>IF(AA6&gt;0, AA6-(AA$30*VALORI!$B$4)-(AA$31*VALORI!$B$4)-(AA$32*VALORI!$B$3)-(AA$33*VALORI!$B$5),0)</f>
        <v>0</v>
      </c>
      <c r="AB41" s="28">
        <f>IF(AB6&gt;0, AB6-(AB$30*VALORI!$B$4)-(AB$31*VALORI!$B$4)-(AB$32*VALORI!$B$3)-(AB$33*VALORI!$B$5),0)</f>
        <v>0</v>
      </c>
      <c r="AC41" s="28">
        <f>IF(AC6&gt;0, AC6-(AC$30*VALORI!$B$4)-(AC$31*VALORI!$B$4)-(AC$32*VALORI!$B$3)-(AC$33*VALORI!$B$5),0)</f>
        <v>0</v>
      </c>
      <c r="AD41" s="28">
        <f>IF(AD6&gt;0, AD6-(AD$30*VALORI!$B$4)-(AD$31*VALORI!$B$4)-(AD$32*VALORI!$B$3)-(AD$33*VALORI!$B$5),0)</f>
        <v>0</v>
      </c>
      <c r="AE41" s="28">
        <f>IF(AE6&gt;0, AE6-(AE$30*VALORI!$B$4)-(AE$31*VALORI!$B$4)-(AE$32*VALORI!$B$3)-(AE$33*VALORI!$B$5),0)</f>
        <v>0</v>
      </c>
      <c r="AF41" s="28">
        <f>IF(AF6&gt;0, AF6-(AF$30*VALORI!$B$4)-(AF$31*VALORI!$B$4)-(AF$32*VALORI!$B$3)-(AF$33*VALORI!$B$5),0)</f>
        <v>0</v>
      </c>
      <c r="AG41" s="28">
        <f>IF(AG6&gt;0, AG6-(AG$30*VALORI!$B$4)-(AG$31*VALORI!$B$4)-(AG$32*VALORI!$B$3)-(AG$33*VALORI!$B$5),0)</f>
        <v>0</v>
      </c>
      <c r="AH41" s="28">
        <f>IF(AH6&gt;0, AH6-(AH$30*VALORI!$B$4)-(AH$31*VALORI!$B$4)-(AH$32*VALORI!$B$3)-(AH$33*VALORI!$B$5),0)</f>
        <v>0</v>
      </c>
      <c r="AI41" s="28">
        <f>IF(AI6&gt;0, AI6-(AI$30*VALORI!$B$4)-(AI$31*VALORI!$B$4)-(AI$32*VALORI!$B$3)-(AI$33*VALORI!$B$5),0)</f>
        <v>0</v>
      </c>
      <c r="AJ41" s="28">
        <f>IF(AJ6&gt;0, AJ6-(AJ$30*VALORI!$B$4)-(AJ$31*VALORI!$B$4)-(AJ$32*VALORI!$B$3)-(AJ$33*VALORI!$B$5),0)</f>
        <v>0</v>
      </c>
      <c r="AK41" s="28">
        <f>IF(AK6&gt;0, AK6-(AK$30*VALORI!$B$4)-(AK$31*VALORI!$B$4)-(AK$32*VALORI!$B$3)-(AK$33*VALORI!$B$5),0)</f>
        <v>0</v>
      </c>
      <c r="AL41" s="28">
        <f>IF(AL6&gt;0, AL6-(AL$30*VALORI!$B$4)-(AL$31*VALORI!$B$4)-(AL$32*VALORI!$B$3)-(AL$33*VALORI!$B$5),0)</f>
        <v>0</v>
      </c>
      <c r="AM41" s="28">
        <f>IF(AM6&gt;0, AM6-(AM$30*VALORI!$B$4)-(AM$31*VALORI!$B$4)-(AM$32*VALORI!$B$3)-(AM$33*VALORI!$B$5),0)</f>
        <v>0</v>
      </c>
      <c r="AN41" s="28">
        <f>IF(AN6&gt;0, AN6-(AN$30*VALORI!$B$4)-(AN$31*VALORI!$B$4)-(AN$32*VALORI!$B$3)-(AN$33*VALORI!$B$5),0)</f>
        <v>0</v>
      </c>
      <c r="AO41" s="28">
        <f>IF(AO6&gt;0, AO6-(AO$30*VALORI!$B$4)-(AO$31*VALORI!$B$4)-(AO$32*VALORI!$B$3)-(AO$33*VALORI!$B$5),0)</f>
        <v>7358</v>
      </c>
    </row>
    <row r="42" spans="7:47" ht="15.75" x14ac:dyDescent="0.25">
      <c r="O42" s="25">
        <v>0</v>
      </c>
      <c r="P42" s="25">
        <f t="shared" si="11"/>
        <v>0</v>
      </c>
      <c r="Q42" s="25">
        <f t="shared" si="9"/>
        <v>0</v>
      </c>
      <c r="R42" s="25">
        <f t="shared" si="10"/>
        <v>0</v>
      </c>
      <c r="W42" s="28">
        <f>IF(W7&gt;0, W7-(W$30*VALORI!$B$4)-(W$31*VALORI!$B$4)-(W$32*VALORI!$B$3)-(W$33*VALORI!$B$5),0)</f>
        <v>0</v>
      </c>
      <c r="X42" s="28">
        <f>IF(X7&gt;0, X7-(X$30*VALORI!$B$4)-(X$31*VALORI!$B$4)-(X$32*VALORI!$B$3)-(X$33*VALORI!$B$5),0)</f>
        <v>0</v>
      </c>
      <c r="Y42" s="28">
        <f>IF(Y7&gt;0, Y7-(Y$30*VALORI!$B$4)-(Y$31*VALORI!$B$4)-(Y$32*VALORI!$B$3)-(Y$33*VALORI!$B$5),0)</f>
        <v>0</v>
      </c>
      <c r="Z42" s="28">
        <f>IF(Z7&gt;0, Z7-(Z$30*VALORI!$B$4)-(Z$31*VALORI!$B$4)-(Z$32*VALORI!$B$3)-(Z$33*VALORI!$B$5),0)</f>
        <v>0</v>
      </c>
      <c r="AA42" s="28">
        <f>IF(AA7&gt;0, AA7-(AA$30*VALORI!$B$4)-(AA$31*VALORI!$B$4)-(AA$32*VALORI!$B$3)-(AA$33*VALORI!$B$5),0)</f>
        <v>0</v>
      </c>
      <c r="AB42" s="28">
        <f>IF(AB7&gt;0, AB7-(AB$30*VALORI!$B$4)-(AB$31*VALORI!$B$4)-(AB$32*VALORI!$B$3)-(AB$33*VALORI!$B$5),0)</f>
        <v>0</v>
      </c>
      <c r="AC42" s="28">
        <f>IF(AC7&gt;0, AC7-(AC$30*VALORI!$B$4)-(AC$31*VALORI!$B$4)-(AC$32*VALORI!$B$3)-(AC$33*VALORI!$B$5),0)</f>
        <v>0</v>
      </c>
      <c r="AD42" s="28">
        <f>IF(AD7&gt;0, AD7-(AD$30*VALORI!$B$4)-(AD$31*VALORI!$B$4)-(AD$32*VALORI!$B$3)-(AD$33*VALORI!$B$5),0)</f>
        <v>0</v>
      </c>
      <c r="AE42" s="28">
        <f>IF(AE7&gt;0, AE7-(AE$30*VALORI!$B$4)-(AE$31*VALORI!$B$4)-(AE$32*VALORI!$B$3)-(AE$33*VALORI!$B$5),0)</f>
        <v>0</v>
      </c>
      <c r="AF42" s="28">
        <f>IF(AF7&gt;0, AF7-(AF$30*VALORI!$B$4)-(AF$31*VALORI!$B$4)-(AF$32*VALORI!$B$3)-(AF$33*VALORI!$B$5),0)</f>
        <v>0</v>
      </c>
      <c r="AG42" s="28">
        <f>IF(AG7&gt;0, AG7-(AG$30*VALORI!$B$4)-(AG$31*VALORI!$B$4)-(AG$32*VALORI!$B$3)-(AG$33*VALORI!$B$5),0)</f>
        <v>0</v>
      </c>
      <c r="AH42" s="28">
        <f>IF(AH7&gt;0, AH7-(AH$30*VALORI!$B$4)-(AH$31*VALORI!$B$4)-(AH$32*VALORI!$B$3)-(AH$33*VALORI!$B$5),0)</f>
        <v>0</v>
      </c>
      <c r="AI42" s="28">
        <f>IF(AI7&gt;0, AI7-(AI$30*VALORI!$B$4)-(AI$31*VALORI!$B$4)-(AI$32*VALORI!$B$3)-(AI$33*VALORI!$B$5),0)</f>
        <v>0</v>
      </c>
      <c r="AJ42" s="28">
        <f>IF(AJ7&gt;0, AJ7-(AJ$30*VALORI!$B$4)-(AJ$31*VALORI!$B$4)-(AJ$32*VALORI!$B$3)-(AJ$33*VALORI!$B$5),0)</f>
        <v>0</v>
      </c>
      <c r="AK42" s="28">
        <f>IF(AK7&gt;0, AK7-(AK$30*VALORI!$B$4)-(AK$31*VALORI!$B$4)-(AK$32*VALORI!$B$3)-(AK$33*VALORI!$B$5),0)</f>
        <v>0</v>
      </c>
      <c r="AL42" s="28">
        <f>IF(AL7&gt;0, AL7-(AL$30*VALORI!$B$4)-(AL$31*VALORI!$B$4)-(AL$32*VALORI!$B$3)-(AL$33*VALORI!$B$5),0)</f>
        <v>0</v>
      </c>
      <c r="AM42" s="28">
        <f>IF(AM7&gt;0, AM7-(AM$30*VALORI!$B$4)-(AM$31*VALORI!$B$4)-(AM$32*VALORI!$B$3)-(AM$33*VALORI!$B$5),0)</f>
        <v>0</v>
      </c>
      <c r="AN42" s="28">
        <f>IF(AN7&gt;0, AN7-(AN$30*VALORI!$B$4)-(AN$31*VALORI!$B$4)-(AN$32*VALORI!$B$3)-(AN$33*VALORI!$B$5),0)</f>
        <v>0</v>
      </c>
      <c r="AO42" s="28">
        <f>IF(AO7&gt;0, AO7-(AO$30*VALORI!$B$4)-(AO$31*VALORI!$B$4)-(AO$32*VALORI!$B$3)-(AO$33*VALORI!$B$5),0)</f>
        <v>7358</v>
      </c>
    </row>
    <row r="43" spans="7:47" ht="15.75" x14ac:dyDescent="0.25">
      <c r="O43" s="25">
        <v>0</v>
      </c>
      <c r="P43" s="25">
        <f t="shared" si="11"/>
        <v>0</v>
      </c>
      <c r="Q43" s="25">
        <f t="shared" si="9"/>
        <v>0</v>
      </c>
      <c r="R43" s="25">
        <f t="shared" si="10"/>
        <v>0</v>
      </c>
      <c r="W43" s="28">
        <f>IF(W8&gt;0, W8-(W$30*VALORI!$B$4)-(W$31*VALORI!$B$4)-(W$32*VALORI!$B$3)-(W$33*VALORI!$B$5),0)</f>
        <v>0</v>
      </c>
      <c r="X43" s="28">
        <f>IF(X8&gt;0, X8-(X$30*VALORI!$B$4)-(X$31*VALORI!$B$4)-(X$32*VALORI!$B$3)-(X$33*VALORI!$B$5),0)</f>
        <v>0</v>
      </c>
      <c r="Y43" s="28">
        <f>IF(Y8&gt;0, Y8-(Y$30*VALORI!$B$4)-(Y$31*VALORI!$B$4)-(Y$32*VALORI!$B$3)-(Y$33*VALORI!$B$5),0)</f>
        <v>0</v>
      </c>
      <c r="Z43" s="28">
        <f>IF(Z8&gt;0, Z8-(Z$30*VALORI!$B$4)-(Z$31*VALORI!$B$4)-(Z$32*VALORI!$B$3)-(Z$33*VALORI!$B$5),0)</f>
        <v>0</v>
      </c>
      <c r="AA43" s="28">
        <f>IF(AA8&gt;0, AA8-(AA$30*VALORI!$B$4)-(AA$31*VALORI!$B$4)-(AA$32*VALORI!$B$3)-(AA$33*VALORI!$B$5),0)</f>
        <v>0</v>
      </c>
      <c r="AB43" s="28">
        <f>IF(AB8&gt;0, AB8-(AB$30*VALORI!$B$4)-(AB$31*VALORI!$B$4)-(AB$32*VALORI!$B$3)-(AB$33*VALORI!$B$5),0)</f>
        <v>0</v>
      </c>
      <c r="AC43" s="28">
        <f>IF(AC8&gt;0, AC8-(AC$30*VALORI!$B$4)-(AC$31*VALORI!$B$4)-(AC$32*VALORI!$B$3)-(AC$33*VALORI!$B$5),0)</f>
        <v>0</v>
      </c>
      <c r="AD43" s="28">
        <f>IF(AD8&gt;0, AD8-(AD$30*VALORI!$B$4)-(AD$31*VALORI!$B$4)-(AD$32*VALORI!$B$3)-(AD$33*VALORI!$B$5),0)</f>
        <v>0</v>
      </c>
      <c r="AE43" s="28">
        <f>IF(AE8&gt;0, AE8-(AE$30*VALORI!$B$4)-(AE$31*VALORI!$B$4)-(AE$32*VALORI!$B$3)-(AE$33*VALORI!$B$5),0)</f>
        <v>0</v>
      </c>
      <c r="AF43" s="28">
        <f>IF(AF8&gt;0, AF8-(AF$30*VALORI!$B$4)-(AF$31*VALORI!$B$4)-(AF$32*VALORI!$B$3)-(AF$33*VALORI!$B$5),0)</f>
        <v>0</v>
      </c>
      <c r="AG43" s="28">
        <f>IF(AG8&gt;0, AG8-(AG$30*VALORI!$B$4)-(AG$31*VALORI!$B$4)-(AG$32*VALORI!$B$3)-(AG$33*VALORI!$B$5),0)</f>
        <v>0</v>
      </c>
      <c r="AH43" s="28">
        <f>IF(AH8&gt;0, AH8-(AH$30*VALORI!$B$4)-(AH$31*VALORI!$B$4)-(AH$32*VALORI!$B$3)-(AH$33*VALORI!$B$5),0)</f>
        <v>0</v>
      </c>
      <c r="AI43" s="28">
        <f>IF(AI8&gt;0, AI8-(AI$30*VALORI!$B$4)-(AI$31*VALORI!$B$4)-(AI$32*VALORI!$B$3)-(AI$33*VALORI!$B$5),0)</f>
        <v>0</v>
      </c>
      <c r="AJ43" s="28">
        <f>IF(AJ8&gt;0, AJ8-(AJ$30*VALORI!$B$4)-(AJ$31*VALORI!$B$4)-(AJ$32*VALORI!$B$3)-(AJ$33*VALORI!$B$5),0)</f>
        <v>0</v>
      </c>
      <c r="AK43" s="28">
        <f>IF(AK8&gt;0, AK8-(AK$30*VALORI!$B$4)-(AK$31*VALORI!$B$4)-(AK$32*VALORI!$B$3)-(AK$33*VALORI!$B$5),0)</f>
        <v>0</v>
      </c>
      <c r="AL43" s="28">
        <f>IF(AL8&gt;0, AL8-(AL$30*VALORI!$B$4)-(AL$31*VALORI!$B$4)-(AL$32*VALORI!$B$3)-(AL$33*VALORI!$B$5),0)</f>
        <v>0</v>
      </c>
      <c r="AM43" s="28">
        <f>IF(AM8&gt;0, AM8-(AM$30*VALORI!$B$4)-(AM$31*VALORI!$B$4)-(AM$32*VALORI!$B$3)-(AM$33*VALORI!$B$5),0)</f>
        <v>0</v>
      </c>
      <c r="AN43" s="28">
        <f>IF(AN8&gt;0, AN8-(AN$30*VALORI!$B$4)-(AN$31*VALORI!$B$4)-(AN$32*VALORI!$B$3)-(AN$33*VALORI!$B$5),0)</f>
        <v>0</v>
      </c>
      <c r="AO43" s="28">
        <f>IF(AO8&gt;0, AO8-(AO$30*VALORI!$B$4)-(AO$31*VALORI!$B$4)-(AO$32*VALORI!$B$3)-(AO$33*VALORI!$B$5),0)</f>
        <v>7358</v>
      </c>
    </row>
    <row r="44" spans="7:47" ht="15.75" x14ac:dyDescent="0.25">
      <c r="O44" s="25">
        <v>0</v>
      </c>
      <c r="P44" s="25">
        <f t="shared" si="11"/>
        <v>0</v>
      </c>
      <c r="Q44" s="25">
        <f t="shared" si="9"/>
        <v>0</v>
      </c>
      <c r="R44" s="25">
        <f t="shared" si="10"/>
        <v>0</v>
      </c>
      <c r="W44" s="28">
        <f>IF(W9&gt;0, W9-(W$30*VALORI!$B$4)-(W$31*VALORI!$B$4)-(W$32*VALORI!$B$3)-(W$33*VALORI!$B$5),0)</f>
        <v>0</v>
      </c>
      <c r="X44" s="28">
        <f>IF(X9&gt;0, X9-(X$30*VALORI!$B$4)-(X$31*VALORI!$B$4)-(X$32*VALORI!$B$3)-(X$33*VALORI!$B$5),0)</f>
        <v>0</v>
      </c>
      <c r="Y44" s="28">
        <f>IF(Y9&gt;0, Y9-(Y$30*VALORI!$B$4)-(Y$31*VALORI!$B$4)-(Y$32*VALORI!$B$3)-(Y$33*VALORI!$B$5),0)</f>
        <v>0</v>
      </c>
      <c r="Z44" s="28">
        <f>IF(Z9&gt;0, Z9-(Z$30*VALORI!$B$4)-(Z$31*VALORI!$B$4)-(Z$32*VALORI!$B$3)-(Z$33*VALORI!$B$5),0)</f>
        <v>0</v>
      </c>
      <c r="AA44" s="28">
        <f>IF(AA9&gt;0, AA9-(AA$30*VALORI!$B$4)-(AA$31*VALORI!$B$4)-(AA$32*VALORI!$B$3)-(AA$33*VALORI!$B$5),0)</f>
        <v>0</v>
      </c>
      <c r="AB44" s="28">
        <f>IF(AB9&gt;0, AB9-(AB$30*VALORI!$B$4)-(AB$31*VALORI!$B$4)-(AB$32*VALORI!$B$3)-(AB$33*VALORI!$B$5),0)</f>
        <v>0</v>
      </c>
      <c r="AC44" s="28">
        <f>IF(AC9&gt;0, AC9-(AC$30*VALORI!$B$4)-(AC$31*VALORI!$B$4)-(AC$32*VALORI!$B$3)-(AC$33*VALORI!$B$5),0)</f>
        <v>0</v>
      </c>
      <c r="AD44" s="28">
        <f>IF(AD9&gt;0, AD9-(AD$30*VALORI!$B$4)-(AD$31*VALORI!$B$4)-(AD$32*VALORI!$B$3)-(AD$33*VALORI!$B$5),0)</f>
        <v>0</v>
      </c>
      <c r="AE44" s="28">
        <f>IF(AE9&gt;0, AE9-(AE$30*VALORI!$B$4)-(AE$31*VALORI!$B$4)-(AE$32*VALORI!$B$3)-(AE$33*VALORI!$B$5),0)</f>
        <v>0</v>
      </c>
      <c r="AF44" s="28">
        <f>IF(AF9&gt;0, AF9-(AF$30*VALORI!$B$4)-(AF$31*VALORI!$B$4)-(AF$32*VALORI!$B$3)-(AF$33*VALORI!$B$5),0)</f>
        <v>0</v>
      </c>
      <c r="AG44" s="28">
        <f>IF(AG9&gt;0, AG9-(AG$30*VALORI!$B$4)-(AG$31*VALORI!$B$4)-(AG$32*VALORI!$B$3)-(AG$33*VALORI!$B$5),0)</f>
        <v>0</v>
      </c>
      <c r="AH44" s="28">
        <f>IF(AH9&gt;0, AH9-(AH$30*VALORI!$B$4)-(AH$31*VALORI!$B$4)-(AH$32*VALORI!$B$3)-(AH$33*VALORI!$B$5),0)</f>
        <v>0</v>
      </c>
      <c r="AI44" s="28">
        <f>IF(AI9&gt;0, AI9-(AI$30*VALORI!$B$4)-(AI$31*VALORI!$B$4)-(AI$32*VALORI!$B$3)-(AI$33*VALORI!$B$5),0)</f>
        <v>0</v>
      </c>
      <c r="AJ44" s="28">
        <f>IF(AJ9&gt;0, AJ9-(AJ$30*VALORI!$B$4)-(AJ$31*VALORI!$B$4)-(AJ$32*VALORI!$B$3)-(AJ$33*VALORI!$B$5),0)</f>
        <v>0</v>
      </c>
      <c r="AK44" s="28">
        <f>IF(AK9&gt;0, AK9-(AK$30*VALORI!$B$4)-(AK$31*VALORI!$B$4)-(AK$32*VALORI!$B$3)-(AK$33*VALORI!$B$5),0)</f>
        <v>0</v>
      </c>
      <c r="AL44" s="28">
        <f>IF(AL9&gt;0, AL9-(AL$30*VALORI!$B$4)-(AL$31*VALORI!$B$4)-(AL$32*VALORI!$B$3)-(AL$33*VALORI!$B$5),0)</f>
        <v>0</v>
      </c>
      <c r="AM44" s="28">
        <f>IF(AM9&gt;0, AM9-(AM$30*VALORI!$B$4)-(AM$31*VALORI!$B$4)-(AM$32*VALORI!$B$3)-(AM$33*VALORI!$B$5),0)</f>
        <v>0</v>
      </c>
      <c r="AN44" s="28">
        <f>IF(AN9&gt;0, AN9-(AN$30*VALORI!$B$4)-(AN$31*VALORI!$B$4)-(AN$32*VALORI!$B$3)-(AN$33*VALORI!$B$5),0)</f>
        <v>0</v>
      </c>
      <c r="AO44" s="28">
        <f>IF(AO9&gt;0, AO9-(AO$30*VALORI!$B$4)-(AO$31*VALORI!$B$4)-(AO$32*VALORI!$B$3)-(AO$33*VALORI!$B$5),0)</f>
        <v>7358</v>
      </c>
    </row>
    <row r="45" spans="7:47" ht="15.75" x14ac:dyDescent="0.25">
      <c r="O45" s="25">
        <v>84300</v>
      </c>
      <c r="P45" s="25">
        <f t="shared" si="11"/>
        <v>92730</v>
      </c>
      <c r="Q45" s="25">
        <f t="shared" si="9"/>
        <v>96439.2</v>
      </c>
      <c r="R45" s="25">
        <f t="shared" si="10"/>
        <v>99332.376000000004</v>
      </c>
      <c r="W45" s="28">
        <f>IF(W10&gt;0, W10-(W$30*VALORI!$B$4)-(W$31*VALORI!$B$4)-(W$32*VALORI!$B$3)-(W$33*VALORI!$B$5),0)</f>
        <v>4546.3519999999999</v>
      </c>
      <c r="X45" s="28">
        <f>IF(X10&gt;0, X10-(X$30*VALORI!$B$4)-(X$31*VALORI!$B$4)-(X$32*VALORI!$B$3)-(X$33*VALORI!$B$5),0)</f>
        <v>15567.84</v>
      </c>
      <c r="Y45" s="28">
        <f>IF(Y10&gt;0, Y10-(Y$30*VALORI!$B$4)-(Y$31*VALORI!$B$4)-(Y$32*VALORI!$B$3)-(Y$33*VALORI!$B$5),0)</f>
        <v>7008</v>
      </c>
      <c r="Z45" s="28">
        <f>IF(Z10&gt;0, Z10-(Z$30*VALORI!$B$4)-(Z$31*VALORI!$B$4)-(Z$32*VALORI!$B$3)-(Z$33*VALORI!$B$5),0)</f>
        <v>12208</v>
      </c>
      <c r="AA45" s="28">
        <f>IF(AA10&gt;0, AA10-(AA$30*VALORI!$B$4)-(AA$31*VALORI!$B$4)-(AA$32*VALORI!$B$3)-(AA$33*VALORI!$B$5),0)</f>
        <v>2924</v>
      </c>
      <c r="AB45" s="28">
        <f>IF(AB10&gt;0, AB10-(AB$30*VALORI!$B$4)-(AB$31*VALORI!$B$4)-(AB$32*VALORI!$B$3)-(AB$33*VALORI!$B$5),0)</f>
        <v>5397</v>
      </c>
      <c r="AC45" s="28">
        <f>IF(AC10&gt;0, AC10-(AC$30*VALORI!$B$4)-(AC$31*VALORI!$B$4)-(AC$32*VALORI!$B$3)-(AC$33*VALORI!$B$5),0)</f>
        <v>506</v>
      </c>
      <c r="AD45" s="28">
        <f>IF(AD10&gt;0, AD10-(AD$30*VALORI!$B$4)-(AD$31*VALORI!$B$4)-(AD$32*VALORI!$B$3)-(AD$33*VALORI!$B$5),0)</f>
        <v>5646</v>
      </c>
      <c r="AE45" s="28">
        <f>IF(AE10&gt;0, AE10-(AE$30*VALORI!$B$4)-(AE$31*VALORI!$B$4)-(AE$32*VALORI!$B$3)-(AE$33*VALORI!$B$5),0)</f>
        <v>932</v>
      </c>
      <c r="AF45" s="28">
        <f>IF(AF10&gt;0, AF10-(AF$30*VALORI!$B$4)-(AF$31*VALORI!$B$4)-(AF$32*VALORI!$B$3)-(AF$33*VALORI!$B$5),0)</f>
        <v>1677</v>
      </c>
      <c r="AG45" s="28">
        <f>IF(AG10&gt;0, AG10-(AG$30*VALORI!$B$4)-(AG$31*VALORI!$B$4)-(AG$32*VALORI!$B$3)-(AG$33*VALORI!$B$5),0)</f>
        <v>-23</v>
      </c>
      <c r="AH45" s="28">
        <f>IF(AH10&gt;0, AH10-(AH$30*VALORI!$B$4)-(AH$31*VALORI!$B$4)-(AH$32*VALORI!$B$3)-(AH$33*VALORI!$B$5),0)</f>
        <v>4852</v>
      </c>
      <c r="AI45" s="28">
        <f>IF(AI10&gt;0, AI10-(AI$30*VALORI!$B$4)-(AI$31*VALORI!$B$4)-(AI$32*VALORI!$B$3)-(AI$33*VALORI!$B$5),0)</f>
        <v>2600</v>
      </c>
      <c r="AJ45" s="28">
        <f>IF(AJ10&gt;0, AJ10-(AJ$30*VALORI!$B$4)-(AJ$31*VALORI!$B$4)-(AJ$32*VALORI!$B$3)-(AJ$33*VALORI!$B$5),0)</f>
        <v>966</v>
      </c>
      <c r="AK45" s="28">
        <f>IF(AK10&gt;0, AK10-(AK$30*VALORI!$B$4)-(AK$31*VALORI!$B$4)-(AK$32*VALORI!$B$3)-(AK$33*VALORI!$B$5),0)</f>
        <v>5110</v>
      </c>
      <c r="AL45" s="28">
        <f>IF(AL10&gt;0, AL10-(AL$30*VALORI!$B$4)-(AL$31*VALORI!$B$4)-(AL$32*VALORI!$B$3)-(AL$33*VALORI!$B$5),0)</f>
        <v>1634</v>
      </c>
      <c r="AM45" s="28">
        <f>IF(AM10&gt;0, AM10-(AM$30*VALORI!$B$4)-(AM$31*VALORI!$B$4)-(AM$32*VALORI!$B$3)-(AM$33*VALORI!$B$5),0)</f>
        <v>1328</v>
      </c>
      <c r="AN45" s="28" t="e">
        <f>IF(AN10&gt;0, AN10-(AN$30*VALORI!$B$4)-(AN$31*VALORI!$B$4)-(AN$32*VALORI!$B$3)-(AN$33*VALORI!$B$5),0)</f>
        <v>#VALUE!</v>
      </c>
      <c r="AO45" s="28">
        <f>IF(AO10&gt;0, AO10-(AO$30*VALORI!$B$4)-(AO$31*VALORI!$B$4)-(AO$32*VALORI!$B$3)-(AO$33*VALORI!$B$5),0)</f>
        <v>7358</v>
      </c>
    </row>
    <row r="46" spans="7:47" ht="15.75" x14ac:dyDescent="0.25">
      <c r="O46" s="25">
        <v>0</v>
      </c>
      <c r="P46" s="25">
        <f t="shared" si="11"/>
        <v>0</v>
      </c>
      <c r="Q46" s="25">
        <f t="shared" si="9"/>
        <v>0</v>
      </c>
      <c r="R46" s="25">
        <f t="shared" si="10"/>
        <v>0</v>
      </c>
      <c r="W46" s="28">
        <f>IF(W11&gt;0, W11-(W$30*VALORI!$B$4)-(W$31*VALORI!$B$4)-(W$32*VALORI!$B$3)-(W$33*VALORI!$B$5),0)</f>
        <v>0</v>
      </c>
      <c r="X46" s="28">
        <f>IF(X11&gt;0, X11-(X$30*VALORI!$B$4)-(X$31*VALORI!$B$4)-(X$32*VALORI!$B$3)-(X$33*VALORI!$B$5),0)</f>
        <v>0</v>
      </c>
      <c r="Y46" s="28">
        <f>IF(Y11&gt;0, Y11-(Y$30*VALORI!$B$4)-(Y$31*VALORI!$B$4)-(Y$32*VALORI!$B$3)-(Y$33*VALORI!$B$5),0)</f>
        <v>0</v>
      </c>
      <c r="Z46" s="28">
        <f>IF(Z11&gt;0, Z11-(Z$30*VALORI!$B$4)-(Z$31*VALORI!$B$4)-(Z$32*VALORI!$B$3)-(Z$33*VALORI!$B$5),0)</f>
        <v>0</v>
      </c>
      <c r="AA46" s="28">
        <f>IF(AA11&gt;0, AA11-(AA$30*VALORI!$B$4)-(AA$31*VALORI!$B$4)-(AA$32*VALORI!$B$3)-(AA$33*VALORI!$B$5),0)</f>
        <v>0</v>
      </c>
      <c r="AB46" s="28">
        <f>IF(AB11&gt;0, AB11-(AB$30*VALORI!$B$4)-(AB$31*VALORI!$B$4)-(AB$32*VALORI!$B$3)-(AB$33*VALORI!$B$5),0)</f>
        <v>0</v>
      </c>
      <c r="AC46" s="28">
        <f>IF(AC11&gt;0, AC11-(AC$30*VALORI!$B$4)-(AC$31*VALORI!$B$4)-(AC$32*VALORI!$B$3)-(AC$33*VALORI!$B$5),0)</f>
        <v>0</v>
      </c>
      <c r="AD46" s="28">
        <f>IF(AD11&gt;0, AD11-(AD$30*VALORI!$B$4)-(AD$31*VALORI!$B$4)-(AD$32*VALORI!$B$3)-(AD$33*VALORI!$B$5),0)</f>
        <v>0</v>
      </c>
      <c r="AE46" s="28">
        <f>IF(AE11&gt;0, AE11-(AE$30*VALORI!$B$4)-(AE$31*VALORI!$B$4)-(AE$32*VALORI!$B$3)-(AE$33*VALORI!$B$5),0)</f>
        <v>0</v>
      </c>
      <c r="AF46" s="28">
        <f>IF(AF11&gt;0, AF11-(AF$30*VALORI!$B$4)-(AF$31*VALORI!$B$4)-(AF$32*VALORI!$B$3)-(AF$33*VALORI!$B$5),0)</f>
        <v>0</v>
      </c>
      <c r="AG46" s="28">
        <f>IF(AG11&gt;0, AG11-(AG$30*VALORI!$B$4)-(AG$31*VALORI!$B$4)-(AG$32*VALORI!$B$3)-(AG$33*VALORI!$B$5),0)</f>
        <v>0</v>
      </c>
      <c r="AH46" s="28">
        <f>IF(AH11&gt;0, AH11-(AH$30*VALORI!$B$4)-(AH$31*VALORI!$B$4)-(AH$32*VALORI!$B$3)-(AH$33*VALORI!$B$5),0)</f>
        <v>0</v>
      </c>
      <c r="AI46" s="28">
        <f>IF(AI11&gt;0, AI11-(AI$30*VALORI!$B$4)-(AI$31*VALORI!$B$4)-(AI$32*VALORI!$B$3)-(AI$33*VALORI!$B$5),0)</f>
        <v>0</v>
      </c>
      <c r="AJ46" s="28">
        <f>IF(AJ11&gt;0, AJ11-(AJ$30*VALORI!$B$4)-(AJ$31*VALORI!$B$4)-(AJ$32*VALORI!$B$3)-(AJ$33*VALORI!$B$5),0)</f>
        <v>0</v>
      </c>
      <c r="AK46" s="28">
        <f>IF(AK11&gt;0, AK11-(AK$30*VALORI!$B$4)-(AK$31*VALORI!$B$4)-(AK$32*VALORI!$B$3)-(AK$33*VALORI!$B$5),0)</f>
        <v>0</v>
      </c>
      <c r="AL46" s="28">
        <f>IF(AL11&gt;0, AL11-(AL$30*VALORI!$B$4)-(AL$31*VALORI!$B$4)-(AL$32*VALORI!$B$3)-(AL$33*VALORI!$B$5),0)</f>
        <v>0</v>
      </c>
      <c r="AM46" s="28">
        <f>IF(AM11&gt;0, AM11-(AM$30*VALORI!$B$4)-(AM$31*VALORI!$B$4)-(AM$32*VALORI!$B$3)-(AM$33*VALORI!$B$5),0)</f>
        <v>0</v>
      </c>
      <c r="AN46" s="28">
        <f>IF(AN11&gt;0, AN11-(AN$30*VALORI!$B$4)-(AN$31*VALORI!$B$4)-(AN$32*VALORI!$B$3)-(AN$33*VALORI!$B$5),0)</f>
        <v>0</v>
      </c>
      <c r="AO46" s="28">
        <f>IF(AO11&gt;0, AO11-(AO$30*VALORI!$B$4)-(AO$31*VALORI!$B$4)-(AO$32*VALORI!$B$3)-(AO$33*VALORI!$B$5),0)</f>
        <v>7358</v>
      </c>
    </row>
    <row r="47" spans="7:47" ht="15.75" x14ac:dyDescent="0.25">
      <c r="O47" s="25">
        <v>0</v>
      </c>
      <c r="P47" s="25">
        <f t="shared" si="11"/>
        <v>0</v>
      </c>
      <c r="Q47" s="25">
        <f t="shared" si="9"/>
        <v>0</v>
      </c>
      <c r="R47" s="25">
        <f t="shared" si="10"/>
        <v>0</v>
      </c>
      <c r="W47" s="28">
        <f>IF(W12&gt;0, W12-(W$30*VALORI!$B$4)-(W$31*VALORI!$B$4)-(W$32*VALORI!$B$3)-(W$33*VALORI!$B$5),0)</f>
        <v>0</v>
      </c>
      <c r="X47" s="28">
        <f>IF(X12&gt;0, X12-(X$30*VALORI!$B$4)-(X$31*VALORI!$B$4)-(X$32*VALORI!$B$3)-(X$33*VALORI!$B$5),0)</f>
        <v>0</v>
      </c>
      <c r="Y47" s="28">
        <f>IF(Y12&gt;0, Y12-(Y$30*VALORI!$B$4)-(Y$31*VALORI!$B$4)-(Y$32*VALORI!$B$3)-(Y$33*VALORI!$B$5),0)</f>
        <v>0</v>
      </c>
      <c r="Z47" s="28">
        <f>IF(Z12&gt;0, Z12-(Z$30*VALORI!$B$4)-(Z$31*VALORI!$B$4)-(Z$32*VALORI!$B$3)-(Z$33*VALORI!$B$5),0)</f>
        <v>0</v>
      </c>
      <c r="AA47" s="28">
        <f>IF(AA12&gt;0, AA12-(AA$30*VALORI!$B$4)-(AA$31*VALORI!$B$4)-(AA$32*VALORI!$B$3)-(AA$33*VALORI!$B$5),0)</f>
        <v>0</v>
      </c>
      <c r="AB47" s="28">
        <f>IF(AB12&gt;0, AB12-(AB$30*VALORI!$B$4)-(AB$31*VALORI!$B$4)-(AB$32*VALORI!$B$3)-(AB$33*VALORI!$B$5),0)</f>
        <v>0</v>
      </c>
      <c r="AC47" s="28">
        <f>IF(AC12&gt;0, AC12-(AC$30*VALORI!$B$4)-(AC$31*VALORI!$B$4)-(AC$32*VALORI!$B$3)-(AC$33*VALORI!$B$5),0)</f>
        <v>0</v>
      </c>
      <c r="AD47" s="28">
        <f>IF(AD12&gt;0, AD12-(AD$30*VALORI!$B$4)-(AD$31*VALORI!$B$4)-(AD$32*VALORI!$B$3)-(AD$33*VALORI!$B$5),0)</f>
        <v>0</v>
      </c>
      <c r="AE47" s="28">
        <f>IF(AE12&gt;0, AE12-(AE$30*VALORI!$B$4)-(AE$31*VALORI!$B$4)-(AE$32*VALORI!$B$3)-(AE$33*VALORI!$B$5),0)</f>
        <v>0</v>
      </c>
      <c r="AF47" s="28">
        <f>IF(AF12&gt;0, AF12-(AF$30*VALORI!$B$4)-(AF$31*VALORI!$B$4)-(AF$32*VALORI!$B$3)-(AF$33*VALORI!$B$5),0)</f>
        <v>0</v>
      </c>
      <c r="AG47" s="28">
        <f>IF(AG12&gt;0, AG12-(AG$30*VALORI!$B$4)-(AG$31*VALORI!$B$4)-(AG$32*VALORI!$B$3)-(AG$33*VALORI!$B$5),0)</f>
        <v>0</v>
      </c>
      <c r="AH47" s="28">
        <f>IF(AH12&gt;0, AH12-(AH$30*VALORI!$B$4)-(AH$31*VALORI!$B$4)-(AH$32*VALORI!$B$3)-(AH$33*VALORI!$B$5),0)</f>
        <v>0</v>
      </c>
      <c r="AI47" s="28">
        <f>IF(AI12&gt;0, AI12-(AI$30*VALORI!$B$4)-(AI$31*VALORI!$B$4)-(AI$32*VALORI!$B$3)-(AI$33*VALORI!$B$5),0)</f>
        <v>0</v>
      </c>
      <c r="AJ47" s="28">
        <f>IF(AJ12&gt;0, AJ12-(AJ$30*VALORI!$B$4)-(AJ$31*VALORI!$B$4)-(AJ$32*VALORI!$B$3)-(AJ$33*VALORI!$B$5),0)</f>
        <v>0</v>
      </c>
      <c r="AK47" s="28">
        <f>IF(AK12&gt;0, AK12-(AK$30*VALORI!$B$4)-(AK$31*VALORI!$B$4)-(AK$32*VALORI!$B$3)-(AK$33*VALORI!$B$5),0)</f>
        <v>0</v>
      </c>
      <c r="AL47" s="28">
        <f>IF(AL12&gt;0, AL12-(AL$30*VALORI!$B$4)-(AL$31*VALORI!$B$4)-(AL$32*VALORI!$B$3)-(AL$33*VALORI!$B$5),0)</f>
        <v>0</v>
      </c>
      <c r="AM47" s="28">
        <f>IF(AM12&gt;0, AM12-(AM$30*VALORI!$B$4)-(AM$31*VALORI!$B$4)-(AM$32*VALORI!$B$3)-(AM$33*VALORI!$B$5),0)</f>
        <v>0</v>
      </c>
      <c r="AN47" s="28">
        <f>IF(AN12&gt;0, AN12-(AN$30*VALORI!$B$4)-(AN$31*VALORI!$B$4)-(AN$32*VALORI!$B$3)-(AN$33*VALORI!$B$5),0)</f>
        <v>0</v>
      </c>
      <c r="AO47" s="28">
        <f>IF(AO12&gt;0, AO12-(AO$30*VALORI!$B$4)-(AO$31*VALORI!$B$4)-(AO$32*VALORI!$B$3)-(AO$33*VALORI!$B$5),0)</f>
        <v>7358</v>
      </c>
    </row>
    <row r="48" spans="7:47" ht="15.75" x14ac:dyDescent="0.25">
      <c r="O48" s="25">
        <v>0</v>
      </c>
      <c r="P48" s="25">
        <f t="shared" si="11"/>
        <v>0</v>
      </c>
      <c r="Q48" s="25">
        <f t="shared" si="9"/>
        <v>0</v>
      </c>
      <c r="R48" s="25">
        <f t="shared" si="10"/>
        <v>0</v>
      </c>
      <c r="W48" s="28">
        <f>IF(W13&gt;0, W13-(W$30*VALORI!$B$4)-(W$31*VALORI!$B$4)-(W$32*VALORI!$B$3)-(W$33*VALORI!$B$5),0)</f>
        <v>0</v>
      </c>
      <c r="X48" s="28">
        <f>IF(X13&gt;0, X13-(X$30*VALORI!$B$4)-(X$31*VALORI!$B$4)-(X$32*VALORI!$B$3)-(X$33*VALORI!$B$5),0)</f>
        <v>0</v>
      </c>
      <c r="Y48" s="28">
        <f>IF(Y13&gt;0, Y13-(Y$30*VALORI!$B$4)-(Y$31*VALORI!$B$4)-(Y$32*VALORI!$B$3)-(Y$33*VALORI!$B$5),0)</f>
        <v>0</v>
      </c>
      <c r="Z48" s="28">
        <f>IF(Z13&gt;0, Z13-(Z$30*VALORI!$B$4)-(Z$31*VALORI!$B$4)-(Z$32*VALORI!$B$3)-(Z$33*VALORI!$B$5),0)</f>
        <v>0</v>
      </c>
      <c r="AA48" s="28">
        <f>IF(AA13&gt;0, AA13-(AA$30*VALORI!$B$4)-(AA$31*VALORI!$B$4)-(AA$32*VALORI!$B$3)-(AA$33*VALORI!$B$5),0)</f>
        <v>0</v>
      </c>
      <c r="AB48" s="28">
        <f>IF(AB13&gt;0, AB13-(AB$30*VALORI!$B$4)-(AB$31*VALORI!$B$4)-(AB$32*VALORI!$B$3)-(AB$33*VALORI!$B$5),0)</f>
        <v>0</v>
      </c>
      <c r="AC48" s="28">
        <f>IF(AC13&gt;0, AC13-(AC$30*VALORI!$B$4)-(AC$31*VALORI!$B$4)-(AC$32*VALORI!$B$3)-(AC$33*VALORI!$B$5),0)</f>
        <v>0</v>
      </c>
      <c r="AD48" s="28">
        <f>IF(AD13&gt;0, AD13-(AD$30*VALORI!$B$4)-(AD$31*VALORI!$B$4)-(AD$32*VALORI!$B$3)-(AD$33*VALORI!$B$5),0)</f>
        <v>0</v>
      </c>
      <c r="AE48" s="28">
        <f>IF(AE13&gt;0, AE13-(AE$30*VALORI!$B$4)-(AE$31*VALORI!$B$4)-(AE$32*VALORI!$B$3)-(AE$33*VALORI!$B$5),0)</f>
        <v>0</v>
      </c>
      <c r="AF48" s="28">
        <f>IF(AF13&gt;0, AF13-(AF$30*VALORI!$B$4)-(AF$31*VALORI!$B$4)-(AF$32*VALORI!$B$3)-(AF$33*VALORI!$B$5),0)</f>
        <v>0</v>
      </c>
      <c r="AG48" s="28">
        <f>IF(AG13&gt;0, AG13-(AG$30*VALORI!$B$4)-(AG$31*VALORI!$B$4)-(AG$32*VALORI!$B$3)-(AG$33*VALORI!$B$5),0)</f>
        <v>0</v>
      </c>
      <c r="AH48" s="28">
        <f>IF(AH13&gt;0, AH13-(AH$30*VALORI!$B$4)-(AH$31*VALORI!$B$4)-(AH$32*VALORI!$B$3)-(AH$33*VALORI!$B$5),0)</f>
        <v>0</v>
      </c>
      <c r="AI48" s="28">
        <f>IF(AI13&gt;0, AI13-(AI$30*VALORI!$B$4)-(AI$31*VALORI!$B$4)-(AI$32*VALORI!$B$3)-(AI$33*VALORI!$B$5),0)</f>
        <v>0</v>
      </c>
      <c r="AJ48" s="28">
        <f>IF(AJ13&gt;0, AJ13-(AJ$30*VALORI!$B$4)-(AJ$31*VALORI!$B$4)-(AJ$32*VALORI!$B$3)-(AJ$33*VALORI!$B$5),0)</f>
        <v>0</v>
      </c>
      <c r="AK48" s="28">
        <f>IF(AK13&gt;0, AK13-(AK$30*VALORI!$B$4)-(AK$31*VALORI!$B$4)-(AK$32*VALORI!$B$3)-(AK$33*VALORI!$B$5),0)</f>
        <v>0</v>
      </c>
      <c r="AL48" s="28">
        <f>IF(AL13&gt;0, AL13-(AL$30*VALORI!$B$4)-(AL$31*VALORI!$B$4)-(AL$32*VALORI!$B$3)-(AL$33*VALORI!$B$5),0)</f>
        <v>0</v>
      </c>
      <c r="AM48" s="28">
        <f>IF(AM13&gt;0, AM13-(AM$30*VALORI!$B$4)-(AM$31*VALORI!$B$4)-(AM$32*VALORI!$B$3)-(AM$33*VALORI!$B$5),0)</f>
        <v>0</v>
      </c>
      <c r="AN48" s="28">
        <f>IF(AN13&gt;0, AN13-(AN$30*VALORI!$B$4)-(AN$31*VALORI!$B$4)-(AN$32*VALORI!$B$3)-(AN$33*VALORI!$B$5),0)</f>
        <v>0</v>
      </c>
      <c r="AO48" s="28">
        <f>IF(AO13&gt;0, AO13-(AO$30*VALORI!$B$4)-(AO$31*VALORI!$B$4)-(AO$32*VALORI!$B$3)-(AO$33*VALORI!$B$5),0)</f>
        <v>7358</v>
      </c>
    </row>
    <row r="49" spans="15:41" ht="15.75" x14ac:dyDescent="0.25">
      <c r="O49" s="25">
        <v>0</v>
      </c>
      <c r="P49" s="25">
        <f t="shared" si="11"/>
        <v>0</v>
      </c>
      <c r="Q49" s="25">
        <f t="shared" si="9"/>
        <v>0</v>
      </c>
      <c r="R49" s="25">
        <f t="shared" si="10"/>
        <v>0</v>
      </c>
      <c r="W49" s="28">
        <f>IF(W14&gt;0, W14-(W$30*VALORI!$B$4)-(W$31*VALORI!$B$4)-(W$32*VALORI!$B$3)-(W$33*VALORI!$B$5),0)</f>
        <v>0</v>
      </c>
      <c r="X49" s="28">
        <f>IF(X14&gt;0, X14-(X$30*VALORI!$B$4)-(X$31*VALORI!$B$4)-(X$32*VALORI!$B$3)-(X$33*VALORI!$B$5),0)</f>
        <v>0</v>
      </c>
      <c r="Y49" s="28">
        <f>IF(Y14&gt;0, Y14-(Y$30*VALORI!$B$4)-(Y$31*VALORI!$B$4)-(Y$32*VALORI!$B$3)-(Y$33*VALORI!$B$5),0)</f>
        <v>0</v>
      </c>
      <c r="Z49" s="28">
        <f>IF(Z14&gt;0, Z14-(Z$30*VALORI!$B$4)-(Z$31*VALORI!$B$4)-(Z$32*VALORI!$B$3)-(Z$33*VALORI!$B$5),0)</f>
        <v>0</v>
      </c>
      <c r="AA49" s="28">
        <f>IF(AA14&gt;0, AA14-(AA$30*VALORI!$B$4)-(AA$31*VALORI!$B$4)-(AA$32*VALORI!$B$3)-(AA$33*VALORI!$B$5),0)</f>
        <v>0</v>
      </c>
      <c r="AB49" s="28">
        <f>IF(AB14&gt;0, AB14-(AB$30*VALORI!$B$4)-(AB$31*VALORI!$B$4)-(AB$32*VALORI!$B$3)-(AB$33*VALORI!$B$5),0)</f>
        <v>0</v>
      </c>
      <c r="AC49" s="28">
        <f>IF(AC14&gt;0, AC14-(AC$30*VALORI!$B$4)-(AC$31*VALORI!$B$4)-(AC$32*VALORI!$B$3)-(AC$33*VALORI!$B$5),0)</f>
        <v>0</v>
      </c>
      <c r="AD49" s="28">
        <f>IF(AD14&gt;0, AD14-(AD$30*VALORI!$B$4)-(AD$31*VALORI!$B$4)-(AD$32*VALORI!$B$3)-(AD$33*VALORI!$B$5),0)</f>
        <v>0</v>
      </c>
      <c r="AE49" s="28">
        <f>IF(AE14&gt;0, AE14-(AE$30*VALORI!$B$4)-(AE$31*VALORI!$B$4)-(AE$32*VALORI!$B$3)-(AE$33*VALORI!$B$5),0)</f>
        <v>0</v>
      </c>
      <c r="AF49" s="28">
        <f>IF(AF14&gt;0, AF14-(AF$30*VALORI!$B$4)-(AF$31*VALORI!$B$4)-(AF$32*VALORI!$B$3)-(AF$33*VALORI!$B$5),0)</f>
        <v>0</v>
      </c>
      <c r="AG49" s="28">
        <f>IF(AG14&gt;0, AG14-(AG$30*VALORI!$B$4)-(AG$31*VALORI!$B$4)-(AG$32*VALORI!$B$3)-(AG$33*VALORI!$B$5),0)</f>
        <v>0</v>
      </c>
      <c r="AH49" s="28">
        <f>IF(AH14&gt;0, AH14-(AH$30*VALORI!$B$4)-(AH$31*VALORI!$B$4)-(AH$32*VALORI!$B$3)-(AH$33*VALORI!$B$5),0)</f>
        <v>0</v>
      </c>
      <c r="AI49" s="28">
        <f>IF(AI14&gt;0, AI14-(AI$30*VALORI!$B$4)-(AI$31*VALORI!$B$4)-(AI$32*VALORI!$B$3)-(AI$33*VALORI!$B$5),0)</f>
        <v>0</v>
      </c>
      <c r="AJ49" s="28">
        <f>IF(AJ14&gt;0, AJ14-(AJ$30*VALORI!$B$4)-(AJ$31*VALORI!$B$4)-(AJ$32*VALORI!$B$3)-(AJ$33*VALORI!$B$5),0)</f>
        <v>0</v>
      </c>
      <c r="AK49" s="28">
        <f>IF(AK14&gt;0, AK14-(AK$30*VALORI!$B$4)-(AK$31*VALORI!$B$4)-(AK$32*VALORI!$B$3)-(AK$33*VALORI!$B$5),0)</f>
        <v>0</v>
      </c>
      <c r="AL49" s="28">
        <f>IF(AL14&gt;0, AL14-(AL$30*VALORI!$B$4)-(AL$31*VALORI!$B$4)-(AL$32*VALORI!$B$3)-(AL$33*VALORI!$B$5),0)</f>
        <v>0</v>
      </c>
      <c r="AM49" s="28">
        <f>IF(AM14&gt;0, AM14-(AM$30*VALORI!$B$4)-(AM$31*VALORI!$B$4)-(AM$32*VALORI!$B$3)-(AM$33*VALORI!$B$5),0)</f>
        <v>0</v>
      </c>
      <c r="AN49" s="28">
        <f>IF(AN14&gt;0, AN14-(AN$30*VALORI!$B$4)-(AN$31*VALORI!$B$4)-(AN$32*VALORI!$B$3)-(AN$33*VALORI!$B$5),0)</f>
        <v>0</v>
      </c>
      <c r="AO49" s="28">
        <f>IF(AO14&gt;0, AO14-(AO$30*VALORI!$B$4)-(AO$31*VALORI!$B$4)-(AO$32*VALORI!$B$3)-(AO$33*VALORI!$B$5),0)</f>
        <v>7358</v>
      </c>
    </row>
    <row r="50" spans="15:41" ht="15.75" x14ac:dyDescent="0.25">
      <c r="O50" s="25">
        <v>103800</v>
      </c>
      <c r="P50" s="25">
        <f t="shared" si="11"/>
        <v>114180</v>
      </c>
      <c r="Q50" s="25">
        <f t="shared" si="9"/>
        <v>118747.2</v>
      </c>
      <c r="R50" s="25">
        <f t="shared" si="10"/>
        <v>122309.61599999999</v>
      </c>
      <c r="W50" s="28">
        <f>IF(W15&gt;0, W15-(W$30*VALORI!$B$4)-(W$31*VALORI!$B$4)-(W$32*VALORI!$B$3)-(W$33*VALORI!$B$5),0)</f>
        <v>5884.8319999999994</v>
      </c>
      <c r="X50" s="28">
        <f>IF(X15&gt;0, X15-(X$30*VALORI!$B$4)-(X$31*VALORI!$B$4)-(X$32*VALORI!$B$3)-(X$33*VALORI!$B$5),0)</f>
        <v>20029.440000000002</v>
      </c>
      <c r="Y50" s="28">
        <f>IF(Y15&gt;0, Y15-(Y$30*VALORI!$B$4)-(Y$31*VALORI!$B$4)-(Y$32*VALORI!$B$3)-(Y$33*VALORI!$B$5),0)</f>
        <v>11008</v>
      </c>
      <c r="Z50" s="28">
        <f>IF(Z15&gt;0, Z15-(Z$30*VALORI!$B$4)-(Z$31*VALORI!$B$4)-(Z$32*VALORI!$B$3)-(Z$33*VALORI!$B$5),0)</f>
        <v>18808</v>
      </c>
      <c r="AA50" s="28">
        <f>IF(AA15&gt;0, AA15-(AA$30*VALORI!$B$4)-(AA$31*VALORI!$B$4)-(AA$32*VALORI!$B$3)-(AA$33*VALORI!$B$5),0)</f>
        <v>2924</v>
      </c>
      <c r="AB50" s="28">
        <f>IF(AB15&gt;0, AB15-(AB$30*VALORI!$B$4)-(AB$31*VALORI!$B$4)-(AB$32*VALORI!$B$3)-(AB$33*VALORI!$B$5),0)</f>
        <v>5397</v>
      </c>
      <c r="AC50" s="28">
        <f>IF(AC15&gt;0, AC15-(AC$30*VALORI!$B$4)-(AC$31*VALORI!$B$4)-(AC$32*VALORI!$B$3)-(AC$33*VALORI!$B$5),0)</f>
        <v>506</v>
      </c>
      <c r="AD50" s="28">
        <f>IF(AD15&gt;0, AD15-(AD$30*VALORI!$B$4)-(AD$31*VALORI!$B$4)-(AD$32*VALORI!$B$3)-(AD$33*VALORI!$B$5),0)</f>
        <v>5646</v>
      </c>
      <c r="AE50" s="28">
        <f>IF(AE15&gt;0, AE15-(AE$30*VALORI!$B$4)-(AE$31*VALORI!$B$4)-(AE$32*VALORI!$B$3)-(AE$33*VALORI!$B$5),0)</f>
        <v>932</v>
      </c>
      <c r="AF50" s="28">
        <f>IF(AF15&gt;0, AF15-(AF$30*VALORI!$B$4)-(AF$31*VALORI!$B$4)-(AF$32*VALORI!$B$3)-(AF$33*VALORI!$B$5),0)</f>
        <v>1677</v>
      </c>
      <c r="AG50" s="28">
        <f>IF(AG15&gt;0, AG15-(AG$30*VALORI!$B$4)-(AG$31*VALORI!$B$4)-(AG$32*VALORI!$B$3)-(AG$33*VALORI!$B$5),0)</f>
        <v>-23</v>
      </c>
      <c r="AH50" s="28">
        <f>IF(AH15&gt;0, AH15-(AH$30*VALORI!$B$4)-(AH$31*VALORI!$B$4)-(AH$32*VALORI!$B$3)-(AH$33*VALORI!$B$5),0)</f>
        <v>7852</v>
      </c>
      <c r="AI50" s="28">
        <f>IF(AI15&gt;0, AI15-(AI$30*VALORI!$B$4)-(AI$31*VALORI!$B$4)-(AI$32*VALORI!$B$3)-(AI$33*VALORI!$B$5),0)</f>
        <v>2600</v>
      </c>
      <c r="AJ50" s="28">
        <f>IF(AJ15&gt;0, AJ15-(AJ$30*VALORI!$B$4)-(AJ$31*VALORI!$B$4)-(AJ$32*VALORI!$B$3)-(AJ$33*VALORI!$B$5),0)</f>
        <v>1566</v>
      </c>
      <c r="AK50" s="28">
        <f>IF(AK15&gt;0, AK15-(AK$30*VALORI!$B$4)-(AK$31*VALORI!$B$4)-(AK$32*VALORI!$B$3)-(AK$33*VALORI!$B$5),0)</f>
        <v>7110</v>
      </c>
      <c r="AL50" s="28">
        <f>IF(AL15&gt;0, AL15-(AL$30*VALORI!$B$4)-(AL$31*VALORI!$B$4)-(AL$32*VALORI!$B$3)-(AL$33*VALORI!$B$5),0)</f>
        <v>3134</v>
      </c>
      <c r="AM50" s="28">
        <f>IF(AM15&gt;0, AM15-(AM$30*VALORI!$B$4)-(AM$31*VALORI!$B$4)-(AM$32*VALORI!$B$3)-(AM$33*VALORI!$B$5),0)</f>
        <v>2828</v>
      </c>
      <c r="AN50" s="28" t="e">
        <f>IF(AN15&gt;0, AN15-(AN$30*VALORI!$B$4)-(AN$31*VALORI!$B$4)-(AN$32*VALORI!$B$3)-(AN$33*VALORI!$B$5),0)</f>
        <v>#VALUE!</v>
      </c>
      <c r="AO50" s="28">
        <f>IF(AO15&gt;0, AO15-(AO$30*VALORI!$B$4)-(AO$31*VALORI!$B$4)-(AO$32*VALORI!$B$3)-(AO$33*VALORI!$B$5),0)</f>
        <v>7358</v>
      </c>
    </row>
    <row r="51" spans="15:41" ht="15.75" x14ac:dyDescent="0.25">
      <c r="O51" s="25">
        <v>0</v>
      </c>
      <c r="P51" s="25">
        <f t="shared" si="11"/>
        <v>0</v>
      </c>
      <c r="Q51" s="25">
        <f t="shared" si="9"/>
        <v>0</v>
      </c>
      <c r="R51" s="25">
        <f t="shared" si="10"/>
        <v>0</v>
      </c>
      <c r="W51" s="28">
        <f>IF(W16&gt;0, W16-(W$30*VALORI!$B$4)-(W$31*VALORI!$B$4)-(W$32*VALORI!$B$3)-(W$33*VALORI!$B$5),0)</f>
        <v>0</v>
      </c>
      <c r="X51" s="28">
        <f>IF(X16&gt;0, X16-(X$30*VALORI!$B$4)-(X$31*VALORI!$B$4)-(X$32*VALORI!$B$3)-(X$33*VALORI!$B$5),0)</f>
        <v>0</v>
      </c>
      <c r="Y51" s="28">
        <f>IF(Y16&gt;0, Y16-(Y$30*VALORI!$B$4)-(Y$31*VALORI!$B$4)-(Y$32*VALORI!$B$3)-(Y$33*VALORI!$B$5),0)</f>
        <v>0</v>
      </c>
      <c r="Z51" s="28">
        <f>IF(Z16&gt;0, Z16-(Z$30*VALORI!$B$4)-(Z$31*VALORI!$B$4)-(Z$32*VALORI!$B$3)-(Z$33*VALORI!$B$5),0)</f>
        <v>0</v>
      </c>
      <c r="AA51" s="28">
        <f>IF(AA16&gt;0, AA16-(AA$30*VALORI!$B$4)-(AA$31*VALORI!$B$4)-(AA$32*VALORI!$B$3)-(AA$33*VALORI!$B$5),0)</f>
        <v>0</v>
      </c>
      <c r="AB51" s="28">
        <f>IF(AB16&gt;0, AB16-(AB$30*VALORI!$B$4)-(AB$31*VALORI!$B$4)-(AB$32*VALORI!$B$3)-(AB$33*VALORI!$B$5),0)</f>
        <v>0</v>
      </c>
      <c r="AC51" s="28">
        <f>IF(AC16&gt;0, AC16-(AC$30*VALORI!$B$4)-(AC$31*VALORI!$B$4)-(AC$32*VALORI!$B$3)-(AC$33*VALORI!$B$5),0)</f>
        <v>0</v>
      </c>
      <c r="AD51" s="28">
        <f>IF(AD16&gt;0, AD16-(AD$30*VALORI!$B$4)-(AD$31*VALORI!$B$4)-(AD$32*VALORI!$B$3)-(AD$33*VALORI!$B$5),0)</f>
        <v>0</v>
      </c>
      <c r="AE51" s="28">
        <f>IF(AE16&gt;0, AE16-(AE$30*VALORI!$B$4)-(AE$31*VALORI!$B$4)-(AE$32*VALORI!$B$3)-(AE$33*VALORI!$B$5),0)</f>
        <v>0</v>
      </c>
      <c r="AF51" s="28">
        <f>IF(AF16&gt;0, AF16-(AF$30*VALORI!$B$4)-(AF$31*VALORI!$B$4)-(AF$32*VALORI!$B$3)-(AF$33*VALORI!$B$5),0)</f>
        <v>0</v>
      </c>
      <c r="AG51" s="28">
        <f>IF(AG16&gt;0, AG16-(AG$30*VALORI!$B$4)-(AG$31*VALORI!$B$4)-(AG$32*VALORI!$B$3)-(AG$33*VALORI!$B$5),0)</f>
        <v>0</v>
      </c>
      <c r="AH51" s="28">
        <f>IF(AH16&gt;0, AH16-(AH$30*VALORI!$B$4)-(AH$31*VALORI!$B$4)-(AH$32*VALORI!$B$3)-(AH$33*VALORI!$B$5),0)</f>
        <v>0</v>
      </c>
      <c r="AI51" s="28">
        <f>IF(AI16&gt;0, AI16-(AI$30*VALORI!$B$4)-(AI$31*VALORI!$B$4)-(AI$32*VALORI!$B$3)-(AI$33*VALORI!$B$5),0)</f>
        <v>0</v>
      </c>
      <c r="AJ51" s="28">
        <f>IF(AJ16&gt;0, AJ16-(AJ$30*VALORI!$B$4)-(AJ$31*VALORI!$B$4)-(AJ$32*VALORI!$B$3)-(AJ$33*VALORI!$B$5),0)</f>
        <v>0</v>
      </c>
      <c r="AK51" s="28">
        <f>IF(AK16&gt;0, AK16-(AK$30*VALORI!$B$4)-(AK$31*VALORI!$B$4)-(AK$32*VALORI!$B$3)-(AK$33*VALORI!$B$5),0)</f>
        <v>0</v>
      </c>
      <c r="AL51" s="28">
        <f>IF(AL16&gt;0, AL16-(AL$30*VALORI!$B$4)-(AL$31*VALORI!$B$4)-(AL$32*VALORI!$B$3)-(AL$33*VALORI!$B$5),0)</f>
        <v>0</v>
      </c>
      <c r="AM51" s="28">
        <f>IF(AM16&gt;0, AM16-(AM$30*VALORI!$B$4)-(AM$31*VALORI!$B$4)-(AM$32*VALORI!$B$3)-(AM$33*VALORI!$B$5),0)</f>
        <v>0</v>
      </c>
      <c r="AN51" s="28">
        <f>IF(AN16&gt;0, AN16-(AN$30*VALORI!$B$4)-(AN$31*VALORI!$B$4)-(AN$32*VALORI!$B$3)-(AN$33*VALORI!$B$5),0)</f>
        <v>0</v>
      </c>
      <c r="AO51" s="28">
        <f>IF(AO16&gt;0, AO16-(AO$30*VALORI!$B$4)-(AO$31*VALORI!$B$4)-(AO$32*VALORI!$B$3)-(AO$33*VALORI!$B$5),0)</f>
        <v>7358</v>
      </c>
    </row>
    <row r="52" spans="15:41" ht="15.75" x14ac:dyDescent="0.25">
      <c r="O52" s="25">
        <v>0</v>
      </c>
      <c r="P52" s="25">
        <f t="shared" si="11"/>
        <v>0</v>
      </c>
      <c r="Q52" s="25">
        <f t="shared" si="9"/>
        <v>0</v>
      </c>
      <c r="R52" s="25">
        <f t="shared" si="10"/>
        <v>0</v>
      </c>
      <c r="W52" s="28">
        <f>IF(W17&gt;0, W17-(W$30*VALORI!$B$4)-(W$31*VALORI!$B$4)-(W$32*VALORI!$B$3)-(W$33*VALORI!$B$5),0)</f>
        <v>0</v>
      </c>
      <c r="X52" s="28">
        <f>IF(X17&gt;0, X17-(X$30*VALORI!$B$4)-(X$31*VALORI!$B$4)-(X$32*VALORI!$B$3)-(X$33*VALORI!$B$5),0)</f>
        <v>0</v>
      </c>
      <c r="Y52" s="28">
        <f>IF(Y17&gt;0, Y17-(Y$30*VALORI!$B$4)-(Y$31*VALORI!$B$4)-(Y$32*VALORI!$B$3)-(Y$33*VALORI!$B$5),0)</f>
        <v>0</v>
      </c>
      <c r="Z52" s="28">
        <f>IF(Z17&gt;0, Z17-(Z$30*VALORI!$B$4)-(Z$31*VALORI!$B$4)-(Z$32*VALORI!$B$3)-(Z$33*VALORI!$B$5),0)</f>
        <v>0</v>
      </c>
      <c r="AA52" s="28">
        <f>IF(AA17&gt;0, AA17-(AA$30*VALORI!$B$4)-(AA$31*VALORI!$B$4)-(AA$32*VALORI!$B$3)-(AA$33*VALORI!$B$5),0)</f>
        <v>0</v>
      </c>
      <c r="AB52" s="28">
        <f>IF(AB17&gt;0, AB17-(AB$30*VALORI!$B$4)-(AB$31*VALORI!$B$4)-(AB$32*VALORI!$B$3)-(AB$33*VALORI!$B$5),0)</f>
        <v>0</v>
      </c>
      <c r="AC52" s="28">
        <f>IF(AC17&gt;0, AC17-(AC$30*VALORI!$B$4)-(AC$31*VALORI!$B$4)-(AC$32*VALORI!$B$3)-(AC$33*VALORI!$B$5),0)</f>
        <v>0</v>
      </c>
      <c r="AD52" s="28">
        <f>IF(AD17&gt;0, AD17-(AD$30*VALORI!$B$4)-(AD$31*VALORI!$B$4)-(AD$32*VALORI!$B$3)-(AD$33*VALORI!$B$5),0)</f>
        <v>0</v>
      </c>
      <c r="AE52" s="28">
        <f>IF(AE17&gt;0, AE17-(AE$30*VALORI!$B$4)-(AE$31*VALORI!$B$4)-(AE$32*VALORI!$B$3)-(AE$33*VALORI!$B$5),0)</f>
        <v>0</v>
      </c>
      <c r="AF52" s="28">
        <f>IF(AF17&gt;0, AF17-(AF$30*VALORI!$B$4)-(AF$31*VALORI!$B$4)-(AF$32*VALORI!$B$3)-(AF$33*VALORI!$B$5),0)</f>
        <v>0</v>
      </c>
      <c r="AG52" s="28">
        <f>IF(AG17&gt;0, AG17-(AG$30*VALORI!$B$4)-(AG$31*VALORI!$B$4)-(AG$32*VALORI!$B$3)-(AG$33*VALORI!$B$5),0)</f>
        <v>0</v>
      </c>
      <c r="AH52" s="28">
        <f>IF(AH17&gt;0, AH17-(AH$30*VALORI!$B$4)-(AH$31*VALORI!$B$4)-(AH$32*VALORI!$B$3)-(AH$33*VALORI!$B$5),0)</f>
        <v>0</v>
      </c>
      <c r="AI52" s="28">
        <f>IF(AI17&gt;0, AI17-(AI$30*VALORI!$B$4)-(AI$31*VALORI!$B$4)-(AI$32*VALORI!$B$3)-(AI$33*VALORI!$B$5),0)</f>
        <v>0</v>
      </c>
      <c r="AJ52" s="28">
        <f>IF(AJ17&gt;0, AJ17-(AJ$30*VALORI!$B$4)-(AJ$31*VALORI!$B$4)-(AJ$32*VALORI!$B$3)-(AJ$33*VALORI!$B$5),0)</f>
        <v>0</v>
      </c>
      <c r="AK52" s="28">
        <f>IF(AK17&gt;0, AK17-(AK$30*VALORI!$B$4)-(AK$31*VALORI!$B$4)-(AK$32*VALORI!$B$3)-(AK$33*VALORI!$B$5),0)</f>
        <v>0</v>
      </c>
      <c r="AL52" s="28">
        <f>IF(AL17&gt;0, AL17-(AL$30*VALORI!$B$4)-(AL$31*VALORI!$B$4)-(AL$32*VALORI!$B$3)-(AL$33*VALORI!$B$5),0)</f>
        <v>0</v>
      </c>
      <c r="AM52" s="28">
        <f>IF(AM17&gt;0, AM17-(AM$30*VALORI!$B$4)-(AM$31*VALORI!$B$4)-(AM$32*VALORI!$B$3)-(AM$33*VALORI!$B$5),0)</f>
        <v>0</v>
      </c>
      <c r="AN52" s="28">
        <f>IF(AN17&gt;0, AN17-(AN$30*VALORI!$B$4)-(AN$31*VALORI!$B$4)-(AN$32*VALORI!$B$3)-(AN$33*VALORI!$B$5),0)</f>
        <v>0</v>
      </c>
      <c r="AO52" s="28">
        <f>IF(AO17&gt;0, AO17-(AO$30*VALORI!$B$4)-(AO$31*VALORI!$B$4)-(AO$32*VALORI!$B$3)-(AO$33*VALORI!$B$5),0)</f>
        <v>7358</v>
      </c>
    </row>
    <row r="53" spans="15:41" ht="15.75" x14ac:dyDescent="0.25">
      <c r="O53" s="25">
        <v>0</v>
      </c>
      <c r="P53" s="25">
        <f t="shared" si="11"/>
        <v>0</v>
      </c>
      <c r="Q53" s="25">
        <f t="shared" si="9"/>
        <v>0</v>
      </c>
      <c r="R53" s="25">
        <f t="shared" si="10"/>
        <v>0</v>
      </c>
      <c r="W53" s="28">
        <f>IF(W18&gt;0, W18-(W$30*VALORI!$B$4)-(W$31*VALORI!$B$4)-(W$32*VALORI!$B$3)-(W$33*VALORI!$B$5),0)</f>
        <v>0</v>
      </c>
      <c r="X53" s="28">
        <f>IF(X18&gt;0, X18-(X$30*VALORI!$B$4)-(X$31*VALORI!$B$4)-(X$32*VALORI!$B$3)-(X$33*VALORI!$B$5),0)</f>
        <v>0</v>
      </c>
      <c r="Y53" s="28">
        <f>IF(Y18&gt;0, Y18-(Y$30*VALORI!$B$4)-(Y$31*VALORI!$B$4)-(Y$32*VALORI!$B$3)-(Y$33*VALORI!$B$5),0)</f>
        <v>0</v>
      </c>
      <c r="Z53" s="28">
        <f>IF(Z18&gt;0, Z18-(Z$30*VALORI!$B$4)-(Z$31*VALORI!$B$4)-(Z$32*VALORI!$B$3)-(Z$33*VALORI!$B$5),0)</f>
        <v>0</v>
      </c>
      <c r="AA53" s="28">
        <f>IF(AA18&gt;0, AA18-(AA$30*VALORI!$B$4)-(AA$31*VALORI!$B$4)-(AA$32*VALORI!$B$3)-(AA$33*VALORI!$B$5),0)</f>
        <v>0</v>
      </c>
      <c r="AB53" s="28">
        <f>IF(AB18&gt;0, AB18-(AB$30*VALORI!$B$4)-(AB$31*VALORI!$B$4)-(AB$32*VALORI!$B$3)-(AB$33*VALORI!$B$5),0)</f>
        <v>0</v>
      </c>
      <c r="AC53" s="28">
        <f>IF(AC18&gt;0, AC18-(AC$30*VALORI!$B$4)-(AC$31*VALORI!$B$4)-(AC$32*VALORI!$B$3)-(AC$33*VALORI!$B$5),0)</f>
        <v>0</v>
      </c>
      <c r="AD53" s="28">
        <f>IF(AD18&gt;0, AD18-(AD$30*VALORI!$B$4)-(AD$31*VALORI!$B$4)-(AD$32*VALORI!$B$3)-(AD$33*VALORI!$B$5),0)</f>
        <v>0</v>
      </c>
      <c r="AE53" s="28">
        <f>IF(AE18&gt;0, AE18-(AE$30*VALORI!$B$4)-(AE$31*VALORI!$B$4)-(AE$32*VALORI!$B$3)-(AE$33*VALORI!$B$5),0)</f>
        <v>0</v>
      </c>
      <c r="AF53" s="28">
        <f>IF(AF18&gt;0, AF18-(AF$30*VALORI!$B$4)-(AF$31*VALORI!$B$4)-(AF$32*VALORI!$B$3)-(AF$33*VALORI!$B$5),0)</f>
        <v>0</v>
      </c>
      <c r="AG53" s="28">
        <f>IF(AG18&gt;0, AG18-(AG$30*VALORI!$B$4)-(AG$31*VALORI!$B$4)-(AG$32*VALORI!$B$3)-(AG$33*VALORI!$B$5),0)</f>
        <v>0</v>
      </c>
      <c r="AH53" s="28">
        <f>IF(AH18&gt;0, AH18-(AH$30*VALORI!$B$4)-(AH$31*VALORI!$B$4)-(AH$32*VALORI!$B$3)-(AH$33*VALORI!$B$5),0)</f>
        <v>0</v>
      </c>
      <c r="AI53" s="28">
        <f>IF(AI18&gt;0, AI18-(AI$30*VALORI!$B$4)-(AI$31*VALORI!$B$4)-(AI$32*VALORI!$B$3)-(AI$33*VALORI!$B$5),0)</f>
        <v>0</v>
      </c>
      <c r="AJ53" s="28">
        <f>IF(AJ18&gt;0, AJ18-(AJ$30*VALORI!$B$4)-(AJ$31*VALORI!$B$4)-(AJ$32*VALORI!$B$3)-(AJ$33*VALORI!$B$5),0)</f>
        <v>0</v>
      </c>
      <c r="AK53" s="28">
        <f>IF(AK18&gt;0, AK18-(AK$30*VALORI!$B$4)-(AK$31*VALORI!$B$4)-(AK$32*VALORI!$B$3)-(AK$33*VALORI!$B$5),0)</f>
        <v>0</v>
      </c>
      <c r="AL53" s="28">
        <f>IF(AL18&gt;0, AL18-(AL$30*VALORI!$B$4)-(AL$31*VALORI!$B$4)-(AL$32*VALORI!$B$3)-(AL$33*VALORI!$B$5),0)</f>
        <v>0</v>
      </c>
      <c r="AM53" s="28">
        <f>IF(AM18&gt;0, AM18-(AM$30*VALORI!$B$4)-(AM$31*VALORI!$B$4)-(AM$32*VALORI!$B$3)-(AM$33*VALORI!$B$5),0)</f>
        <v>0</v>
      </c>
      <c r="AN53" s="28">
        <f>IF(AN18&gt;0, AN18-(AN$30*VALORI!$B$4)-(AN$31*VALORI!$B$4)-(AN$32*VALORI!$B$3)-(AN$33*VALORI!$B$5),0)</f>
        <v>0</v>
      </c>
      <c r="AO53" s="28">
        <f>IF(AO18&gt;0, AO18-(AO$30*VALORI!$B$4)-(AO$31*VALORI!$B$4)-(AO$32*VALORI!$B$3)-(AO$33*VALORI!$B$5),0)</f>
        <v>7358</v>
      </c>
    </row>
    <row r="54" spans="15:41" ht="15.75" x14ac:dyDescent="0.25">
      <c r="W54" s="28">
        <f>IF(W19&gt;0, W19-(W$30*VALORI!$B$4)-(W$31*VALORI!$B$4)-(W$32*VALORI!$B$3)-(W$33*VALORI!$B$5),0)</f>
        <v>0</v>
      </c>
      <c r="X54" s="28">
        <f>IF(X19&gt;0, X19-(X$30*VALORI!$B$4)-(X$31*VALORI!$B$4)-(X$32*VALORI!$B$3)-(X$33*VALORI!$B$5),0)</f>
        <v>0</v>
      </c>
      <c r="Y54" s="28">
        <f>IF(Y19&gt;0, Y19-(Y$30*VALORI!$B$4)-(Y$31*VALORI!$B$4)-(Y$32*VALORI!$B$3)-(Y$33*VALORI!$B$5),0)</f>
        <v>0</v>
      </c>
      <c r="Z54" s="28">
        <f>IF(Z19&gt;0, Z19-(Z$30*VALORI!$B$4)-(Z$31*VALORI!$B$4)-(Z$32*VALORI!$B$3)-(Z$33*VALORI!$B$5),0)</f>
        <v>0</v>
      </c>
      <c r="AA54" s="28">
        <f>IF(AA19&gt;0, AA19-(AA$30*VALORI!$B$4)-(AA$31*VALORI!$B$4)-(AA$32*VALORI!$B$3)-(AA$33*VALORI!$B$5),0)</f>
        <v>0</v>
      </c>
      <c r="AB54" s="28">
        <f>IF(AB19&gt;0, AB19-(AB$30*VALORI!$B$4)-(AB$31*VALORI!$B$4)-(AB$32*VALORI!$B$3)-(AB$33*VALORI!$B$5),0)</f>
        <v>0</v>
      </c>
      <c r="AC54" s="28">
        <f>IF(AC19&gt;0, AC19-(AC$30*VALORI!$B$4)-(AC$31*VALORI!$B$4)-(AC$32*VALORI!$B$3)-(AC$33*VALORI!$B$5),0)</f>
        <v>0</v>
      </c>
      <c r="AD54" s="28">
        <f>IF(AD19&gt;0, AD19-(AD$30*VALORI!$B$4)-(AD$31*VALORI!$B$4)-(AD$32*VALORI!$B$3)-(AD$33*VALORI!$B$5),0)</f>
        <v>0</v>
      </c>
      <c r="AE54" s="28">
        <f>IF(AE19&gt;0, AE19-(AE$30*VALORI!$B$4)-(AE$31*VALORI!$B$4)-(AE$32*VALORI!$B$3)-(AE$33*VALORI!$B$5),0)</f>
        <v>0</v>
      </c>
      <c r="AF54" s="28">
        <f>IF(AF19&gt;0, AF19-(AF$30*VALORI!$B$4)-(AF$31*VALORI!$B$4)-(AF$32*VALORI!$B$3)-(AF$33*VALORI!$B$5),0)</f>
        <v>0</v>
      </c>
      <c r="AG54" s="28">
        <f>IF(AG19&gt;0, AG19-(AG$30*VALORI!$B$4)-(AG$31*VALORI!$B$4)-(AG$32*VALORI!$B$3)-(AG$33*VALORI!$B$5),0)</f>
        <v>0</v>
      </c>
      <c r="AH54" s="28">
        <f>IF(AH19&gt;0, AH19-(AH$30*VALORI!$B$4)-(AH$31*VALORI!$B$4)-(AH$32*VALORI!$B$3)-(AH$33*VALORI!$B$5),0)</f>
        <v>0</v>
      </c>
      <c r="AI54" s="28">
        <f>IF(AI19&gt;0, AI19-(AI$30*VALORI!$B$4)-(AI$31*VALORI!$B$4)-(AI$32*VALORI!$B$3)-(AI$33*VALORI!$B$5),0)</f>
        <v>0</v>
      </c>
      <c r="AJ54" s="28">
        <f>IF(AJ19&gt;0, AJ19-(AJ$30*VALORI!$B$4)-(AJ$31*VALORI!$B$4)-(AJ$32*VALORI!$B$3)-(AJ$33*VALORI!$B$5),0)</f>
        <v>0</v>
      </c>
      <c r="AK54" s="28">
        <f>IF(AK19&gt;0, AK19-(AK$30*VALORI!$B$4)-(AK$31*VALORI!$B$4)-(AK$32*VALORI!$B$3)-(AK$33*VALORI!$B$5),0)</f>
        <v>0</v>
      </c>
      <c r="AL54" s="28">
        <f>IF(AL19&gt;0, AL19-(AL$30*VALORI!$B$4)-(AL$31*VALORI!$B$4)-(AL$32*VALORI!$B$3)-(AL$33*VALORI!$B$5),0)</f>
        <v>0</v>
      </c>
      <c r="AM54" s="28">
        <f>IF(AM19&gt;0, AM19-(AM$30*VALORI!$B$4)-(AM$31*VALORI!$B$4)-(AM$32*VALORI!$B$3)-(AM$33*VALORI!$B$5),0)</f>
        <v>0</v>
      </c>
      <c r="AN54" s="28">
        <f>IF(AN19&gt;0, AN19-(AN$30*VALORI!$B$4)-(AN$31*VALORI!$B$4)-(AN$32*VALORI!$B$3)-(AN$33*VALORI!$B$5),0)</f>
        <v>0</v>
      </c>
      <c r="AO54" s="28">
        <f>IF(AO19&gt;0, AO19-(AO$30*VALORI!$B$4)-(AO$31*VALORI!$B$4)-(AO$32*VALORI!$B$3)-(AO$33*VALORI!$B$5),0)</f>
        <v>0</v>
      </c>
    </row>
    <row r="55" spans="15:41" x14ac:dyDescent="0.25">
      <c r="AL55"/>
      <c r="AM55"/>
    </row>
    <row r="56" spans="15:41" ht="77.25" customHeight="1" x14ac:dyDescent="0.25">
      <c r="AL56"/>
      <c r="AM56"/>
    </row>
    <row r="57" spans="15:41" ht="42" x14ac:dyDescent="0.25">
      <c r="W57" s="94" t="s">
        <v>340</v>
      </c>
      <c r="X57" s="94" t="s">
        <v>340</v>
      </c>
      <c r="Y57" s="94" t="s">
        <v>340</v>
      </c>
      <c r="Z57" s="94" t="s">
        <v>340</v>
      </c>
      <c r="AA57" s="94" t="s">
        <v>340</v>
      </c>
      <c r="AB57" s="94" t="s">
        <v>340</v>
      </c>
      <c r="AC57" s="94" t="s">
        <v>340</v>
      </c>
      <c r="AD57" s="94" t="s">
        <v>340</v>
      </c>
      <c r="AE57" s="94" t="s">
        <v>340</v>
      </c>
      <c r="AF57" s="94" t="s">
        <v>340</v>
      </c>
      <c r="AG57" s="94" t="s">
        <v>340</v>
      </c>
      <c r="AH57" s="94" t="s">
        <v>340</v>
      </c>
      <c r="AI57" s="94" t="s">
        <v>340</v>
      </c>
      <c r="AJ57" s="94" t="s">
        <v>340</v>
      </c>
      <c r="AK57" s="94" t="s">
        <v>340</v>
      </c>
      <c r="AL57" s="94" t="s">
        <v>340</v>
      </c>
      <c r="AM57" s="94" t="s">
        <v>340</v>
      </c>
      <c r="AN57" s="94" t="s">
        <v>340</v>
      </c>
      <c r="AO57" s="94" t="s">
        <v>340</v>
      </c>
    </row>
    <row r="58" spans="15:41" ht="15.75" x14ac:dyDescent="0.25">
      <c r="W58" s="28">
        <f>IF(W3&gt;0, (W$30*VALORI!$B$4)+(W$31*VALORI!$B$4)+(W$32*VALORI!$B$3)+(W$33*VALORI!$B$5),0)</f>
        <v>0</v>
      </c>
      <c r="X58" s="28">
        <f>IF(X3&gt;0, (X$30*VALORI!$B$4)+(X$31*VALORI!$B$4)+(X$32*VALORI!$B$3)+(X$33*VALORI!$B$5),0)</f>
        <v>0</v>
      </c>
      <c r="Y58" s="28">
        <f>IF(Y3&gt;0, (Y$30*VALORI!$B$4)+(Y$31*VALORI!$B$4)+(Y$32*VALORI!$B$3)+(Y$33*VALORI!$B$5),0)</f>
        <v>0</v>
      </c>
      <c r="Z58" s="28">
        <f>IF(Z3&gt;0, (Z$30*VALORI!$B$4)+(Z$31*VALORI!$B$4)+(Z$32*VALORI!$B$3)+(Z$33*VALORI!$B$5),0)</f>
        <v>0</v>
      </c>
      <c r="AA58" s="28">
        <f>IF(AA3&gt;0, (AA$30*VALORI!$B$4)+(AA$31*VALORI!$B$4)+(AA$32*VALORI!$B$3)+(AA$33*VALORI!$B$5),0)</f>
        <v>0</v>
      </c>
      <c r="AB58" s="28">
        <f>IF(AB3&gt;0, (AB$30*VALORI!$B$4)+(AB$31*VALORI!$B$4)+(AB$32*VALORI!$B$3)+(AB$33*VALORI!$B$5),0)</f>
        <v>0</v>
      </c>
      <c r="AC58" s="28">
        <f>IF(AC3&gt;0, (AC$30*VALORI!$B$4)+(AC$31*VALORI!$B$4)+(AC$32*VALORI!$B$3)+(AC$33*VALORI!$B$5),0)</f>
        <v>0</v>
      </c>
      <c r="AD58" s="28">
        <f>IF(AD3&gt;0, (AD$30*VALORI!$B$4)+(AD$31*VALORI!$B$4)+(AD$32*VALORI!$B$3)+(AD$33*VALORI!$B$5),0)</f>
        <v>0</v>
      </c>
      <c r="AE58" s="28">
        <f>IF(AE3&gt;0, (AE$30*VALORI!$B$4)+(AE$31*VALORI!$B$4)+(AE$32*VALORI!$B$3)+(AE$33*VALORI!$B$5),0)</f>
        <v>0</v>
      </c>
      <c r="AF58" s="28">
        <f>IF(AF3&gt;0, (AF$30*VALORI!$B$4)+(AF$31*VALORI!$B$4)+(AF$32*VALORI!$B$3)+(AF$33*VALORI!$B$5),0)</f>
        <v>0</v>
      </c>
      <c r="AG58" s="28">
        <f>IF(AG3&gt;0, (AG$30*VALORI!$B$4)+(AG$31*VALORI!$B$4)+(AG$32*VALORI!$B$3)+(AG$33*VALORI!$B$5),0)</f>
        <v>0</v>
      </c>
      <c r="AH58" s="28">
        <f>IF(AH3&gt;0, (AH$30*VALORI!$B$4)+(AH$31*VALORI!$B$4)+(AH$32*VALORI!$B$3)+(AH$33*VALORI!$B$5),0)</f>
        <v>0</v>
      </c>
      <c r="AI58" s="28">
        <f>IF(AI3&gt;0, (AI$30*VALORI!$B$4)+(AI$31*VALORI!$B$4)+(AI$32*VALORI!$B$3)+(AI$33*VALORI!$B$5),0)</f>
        <v>0</v>
      </c>
      <c r="AJ58" s="28">
        <f>IF(AJ3&gt;0, (AJ$30*VALORI!$B$4)+(AJ$31*VALORI!$B$4)+(AJ$32*VALORI!$B$3)+(AJ$33*VALORI!$B$5),0)</f>
        <v>0</v>
      </c>
      <c r="AK58" s="28">
        <f>IF(AK3&gt;0, (AK$30*VALORI!$B$4)+(AK$31*VALORI!$B$4)+(AK$32*VALORI!$B$3)+(AK$33*VALORI!$B$5),0)</f>
        <v>0</v>
      </c>
      <c r="AL58" s="28">
        <f>IF(AL3&gt;0, (AL$30*VALORI!$B$4)+(AL$31*VALORI!$B$4)+(AL$32*VALORI!$B$3)+(AL$33*VALORI!$B$5),0)</f>
        <v>0</v>
      </c>
      <c r="AM58" s="28">
        <f>IF(AM3&gt;0, (AM$30*VALORI!$B$4)+(AM$31*VALORI!$B$4)+(AM$32*VALORI!$B$3)+(AM$33*VALORI!$B$5),0)</f>
        <v>0</v>
      </c>
      <c r="AN58" s="28">
        <f>IF(AN3&gt;0, (AN$30*VALORI!$B$4)+(AN$31*VALORI!$B$4)+(AN$32*VALORI!$B$3)+(AN$33*VALORI!$B$5),0)</f>
        <v>0</v>
      </c>
      <c r="AO58" s="28">
        <f>IF(AO3&gt;0, (AO$30*VALORI!$B$4)+(AO$31*VALORI!$B$4)+(AO$32*VALORI!$B$3)+(AO$33*VALORI!$B$5),0)</f>
        <v>0</v>
      </c>
    </row>
    <row r="59" spans="15:41" ht="15.75" x14ac:dyDescent="0.25">
      <c r="W59" s="28">
        <f>IF(W4&gt;0, (W$30*VALORI!$B$4)+(W$31*VALORI!$B$4)+(W$32*VALORI!$B$3)+(W$33*VALORI!$B$5),0)</f>
        <v>0</v>
      </c>
      <c r="X59" s="28">
        <f>IF(X4&gt;0, (X$30*VALORI!$B$4)+(X$31*VALORI!$B$4)+(X$32*VALORI!$B$3)+(X$33*VALORI!$B$5),0)</f>
        <v>0</v>
      </c>
      <c r="Y59" s="28">
        <f>IF(Y4&gt;0, (Y$30*VALORI!$B$4)+(Y$31*VALORI!$B$4)+(Y$32*VALORI!$B$3)+(Y$33*VALORI!$B$5),0)</f>
        <v>0</v>
      </c>
      <c r="Z59" s="28">
        <f>IF(Z4&gt;0, (Z$30*VALORI!$B$4)+(Z$31*VALORI!$B$4)+(Z$32*VALORI!$B$3)+(Z$33*VALORI!$B$5),0)</f>
        <v>0</v>
      </c>
      <c r="AA59" s="28">
        <f>IF(AA4&gt;0, (AA$30*VALORI!$B$4)+(AA$31*VALORI!$B$4)+(AA$32*VALORI!$B$3)+(AA$33*VALORI!$B$5),0)</f>
        <v>0</v>
      </c>
      <c r="AB59" s="28">
        <f>IF(AB4&gt;0, (AB$30*VALORI!$B$4)+(AB$31*VALORI!$B$4)+(AB$32*VALORI!$B$3)+(AB$33*VALORI!$B$5),0)</f>
        <v>0</v>
      </c>
      <c r="AC59" s="28">
        <f>IF(AC4&gt;0, (AC$30*VALORI!$B$4)+(AC$31*VALORI!$B$4)+(AC$32*VALORI!$B$3)+(AC$33*VALORI!$B$5),0)</f>
        <v>0</v>
      </c>
      <c r="AD59" s="28">
        <f>IF(AD4&gt;0, (AD$30*VALORI!$B$4)+(AD$31*VALORI!$B$4)+(AD$32*VALORI!$B$3)+(AD$33*VALORI!$B$5),0)</f>
        <v>0</v>
      </c>
      <c r="AE59" s="28">
        <f>IF(AE4&gt;0, (AE$30*VALORI!$B$4)+(AE$31*VALORI!$B$4)+(AE$32*VALORI!$B$3)+(AE$33*VALORI!$B$5),0)</f>
        <v>0</v>
      </c>
      <c r="AF59" s="28">
        <f>IF(AF4&gt;0, (AF$30*VALORI!$B$4)+(AF$31*VALORI!$B$4)+(AF$32*VALORI!$B$3)+(AF$33*VALORI!$B$5),0)</f>
        <v>0</v>
      </c>
      <c r="AG59" s="28">
        <f>IF(AG4&gt;0, (AG$30*VALORI!$B$4)+(AG$31*VALORI!$B$4)+(AG$32*VALORI!$B$3)+(AG$33*VALORI!$B$5),0)</f>
        <v>0</v>
      </c>
      <c r="AH59" s="28">
        <f>IF(AH4&gt;0, (AH$30*VALORI!$B$4)+(AH$31*VALORI!$B$4)+(AH$32*VALORI!$B$3)+(AH$33*VALORI!$B$5),0)</f>
        <v>0</v>
      </c>
      <c r="AI59" s="28">
        <f>IF(AI4&gt;0, (AI$30*VALORI!$B$4)+(AI$31*VALORI!$B$4)+(AI$32*VALORI!$B$3)+(AI$33*VALORI!$B$5),0)</f>
        <v>0</v>
      </c>
      <c r="AJ59" s="28">
        <f>IF(AJ4&gt;0, (AJ$30*VALORI!$B$4)+(AJ$31*VALORI!$B$4)+(AJ$32*VALORI!$B$3)+(AJ$33*VALORI!$B$5),0)</f>
        <v>0</v>
      </c>
      <c r="AK59" s="28">
        <f>IF(AK4&gt;0, (AK$30*VALORI!$B$4)+(AK$31*VALORI!$B$4)+(AK$32*VALORI!$B$3)+(AK$33*VALORI!$B$5),0)</f>
        <v>0</v>
      </c>
      <c r="AL59" s="28">
        <f>IF(AL4&gt;0, (AL$30*VALORI!$B$4)+(AL$31*VALORI!$B$4)+(AL$32*VALORI!$B$3)+(AL$33*VALORI!$B$5),0)</f>
        <v>0</v>
      </c>
      <c r="AM59" s="28">
        <f>IF(AM4&gt;0, (AM$30*VALORI!$B$4)+(AM$31*VALORI!$B$4)+(AM$32*VALORI!$B$3)+(AM$33*VALORI!$B$5),0)</f>
        <v>0</v>
      </c>
      <c r="AN59" s="28">
        <f>IF(AN4&gt;0, (AN$30*VALORI!$B$4)+(AN$31*VALORI!$B$4)+(AN$32*VALORI!$B$3)+(AN$33*VALORI!$B$5),0)</f>
        <v>0</v>
      </c>
      <c r="AO59" s="28">
        <f>IF(AO4&gt;0, (AO$30*VALORI!$B$4)+(AO$31*VALORI!$B$4)+(AO$32*VALORI!$B$3)+(AO$33*VALORI!$B$5),0)</f>
        <v>642</v>
      </c>
    </row>
    <row r="60" spans="15:41" ht="15.75" x14ac:dyDescent="0.25">
      <c r="W60" s="28">
        <f>IF(W5&gt;0, (W$30*VALORI!$B$4)+(W$31*VALORI!$B$4)+(W$32*VALORI!$B$3)+(W$33*VALORI!$B$5),0)</f>
        <v>0</v>
      </c>
      <c r="X60" s="28">
        <f>IF(X5&gt;0, (X$30*VALORI!$B$4)+(X$31*VALORI!$B$4)+(X$32*VALORI!$B$3)+(X$33*VALORI!$B$5),0)</f>
        <v>0</v>
      </c>
      <c r="Y60" s="28">
        <f>IF(Y5&gt;0, (Y$30*VALORI!$B$4)+(Y$31*VALORI!$B$4)+(Y$32*VALORI!$B$3)+(Y$33*VALORI!$B$5),0)</f>
        <v>0</v>
      </c>
      <c r="Z60" s="28">
        <f>IF(Z5&gt;0, (Z$30*VALORI!$B$4)+(Z$31*VALORI!$B$4)+(Z$32*VALORI!$B$3)+(Z$33*VALORI!$B$5),0)</f>
        <v>0</v>
      </c>
      <c r="AA60" s="28">
        <f>IF(AA5&gt;0, (AA$30*VALORI!$B$4)+(AA$31*VALORI!$B$4)+(AA$32*VALORI!$B$3)+(AA$33*VALORI!$B$5),0)</f>
        <v>0</v>
      </c>
      <c r="AB60" s="28">
        <f>IF(AB5&gt;0, (AB$30*VALORI!$B$4)+(AB$31*VALORI!$B$4)+(AB$32*VALORI!$B$3)+(AB$33*VALORI!$B$5),0)</f>
        <v>0</v>
      </c>
      <c r="AC60" s="28">
        <f>IF(AC5&gt;0, (AC$30*VALORI!$B$4)+(AC$31*VALORI!$B$4)+(AC$32*VALORI!$B$3)+(AC$33*VALORI!$B$5),0)</f>
        <v>0</v>
      </c>
      <c r="AD60" s="28">
        <f>IF(AD5&gt;0, (AD$30*VALORI!$B$4)+(AD$31*VALORI!$B$4)+(AD$32*VALORI!$B$3)+(AD$33*VALORI!$B$5),0)</f>
        <v>0</v>
      </c>
      <c r="AE60" s="28">
        <f>IF(AE5&gt;0, (AE$30*VALORI!$B$4)+(AE$31*VALORI!$B$4)+(AE$32*VALORI!$B$3)+(AE$33*VALORI!$B$5),0)</f>
        <v>0</v>
      </c>
      <c r="AF60" s="28">
        <f>IF(AF5&gt;0, (AF$30*VALORI!$B$4)+(AF$31*VALORI!$B$4)+(AF$32*VALORI!$B$3)+(AF$33*VALORI!$B$5),0)</f>
        <v>0</v>
      </c>
      <c r="AG60" s="28">
        <f>IF(AG5&gt;0, (AG$30*VALORI!$B$4)+(AG$31*VALORI!$B$4)+(AG$32*VALORI!$B$3)+(AG$33*VALORI!$B$5),0)</f>
        <v>0</v>
      </c>
      <c r="AH60" s="28">
        <f>IF(AH5&gt;0, (AH$30*VALORI!$B$4)+(AH$31*VALORI!$B$4)+(AH$32*VALORI!$B$3)+(AH$33*VALORI!$B$5),0)</f>
        <v>0</v>
      </c>
      <c r="AI60" s="28">
        <f>IF(AI5&gt;0, (AI$30*VALORI!$B$4)+(AI$31*VALORI!$B$4)+(AI$32*VALORI!$B$3)+(AI$33*VALORI!$B$5),0)</f>
        <v>0</v>
      </c>
      <c r="AJ60" s="28">
        <f>IF(AJ5&gt;0, (AJ$30*VALORI!$B$4)+(AJ$31*VALORI!$B$4)+(AJ$32*VALORI!$B$3)+(AJ$33*VALORI!$B$5),0)</f>
        <v>0</v>
      </c>
      <c r="AK60" s="28">
        <f>IF(AK5&gt;0, (AK$30*VALORI!$B$4)+(AK$31*VALORI!$B$4)+(AK$32*VALORI!$B$3)+(AK$33*VALORI!$B$5),0)</f>
        <v>0</v>
      </c>
      <c r="AL60" s="28">
        <f>IF(AL5&gt;0, (AL$30*VALORI!$B$4)+(AL$31*VALORI!$B$4)+(AL$32*VALORI!$B$3)+(AL$33*VALORI!$B$5),0)</f>
        <v>0</v>
      </c>
      <c r="AM60" s="28">
        <f>IF(AM5&gt;0, (AM$30*VALORI!$B$4)+(AM$31*VALORI!$B$4)+(AM$32*VALORI!$B$3)+(AM$33*VALORI!$B$5),0)</f>
        <v>0</v>
      </c>
      <c r="AN60" s="28">
        <f>IF(AN5&gt;0, (AN$30*VALORI!$B$4)+(AN$31*VALORI!$B$4)+(AN$32*VALORI!$B$3)+(AN$33*VALORI!$B$5),0)</f>
        <v>0</v>
      </c>
      <c r="AO60" s="28">
        <f>IF(AO5&gt;0, (AO$30*VALORI!$B$4)+(AO$31*VALORI!$B$4)+(AO$32*VALORI!$B$3)+(AO$33*VALORI!$B$5),0)</f>
        <v>642</v>
      </c>
    </row>
    <row r="61" spans="15:41" ht="15.75" x14ac:dyDescent="0.25">
      <c r="W61" s="28">
        <f>IF(W6&gt;0, (W$30*VALORI!$B$4)+(W$31*VALORI!$B$4)+(W$32*VALORI!$B$3)+(W$33*VALORI!$B$5),0)</f>
        <v>0</v>
      </c>
      <c r="X61" s="28">
        <f>IF(X6&gt;0, (X$30*VALORI!$B$4)+(X$31*VALORI!$B$4)+(X$32*VALORI!$B$3)+(X$33*VALORI!$B$5),0)</f>
        <v>0</v>
      </c>
      <c r="Y61" s="28">
        <f>IF(Y6&gt;0, (Y$30*VALORI!$B$4)+(Y$31*VALORI!$B$4)+(Y$32*VALORI!$B$3)+(Y$33*VALORI!$B$5),0)</f>
        <v>0</v>
      </c>
      <c r="Z61" s="28">
        <f>IF(Z6&gt;0, (Z$30*VALORI!$B$4)+(Z$31*VALORI!$B$4)+(Z$32*VALORI!$B$3)+(Z$33*VALORI!$B$5),0)</f>
        <v>0</v>
      </c>
      <c r="AA61" s="28">
        <f>IF(AA6&gt;0, (AA$30*VALORI!$B$4)+(AA$31*VALORI!$B$4)+(AA$32*VALORI!$B$3)+(AA$33*VALORI!$B$5),0)</f>
        <v>0</v>
      </c>
      <c r="AB61" s="28">
        <f>IF(AB6&gt;0, (AB$30*VALORI!$B$4)+(AB$31*VALORI!$B$4)+(AB$32*VALORI!$B$3)+(AB$33*VALORI!$B$5),0)</f>
        <v>0</v>
      </c>
      <c r="AC61" s="28">
        <f>IF(AC6&gt;0, (AC$30*VALORI!$B$4)+(AC$31*VALORI!$B$4)+(AC$32*VALORI!$B$3)+(AC$33*VALORI!$B$5),0)</f>
        <v>0</v>
      </c>
      <c r="AD61" s="28">
        <f>IF(AD6&gt;0, (AD$30*VALORI!$B$4)+(AD$31*VALORI!$B$4)+(AD$32*VALORI!$B$3)+(AD$33*VALORI!$B$5),0)</f>
        <v>0</v>
      </c>
      <c r="AE61" s="28">
        <f>IF(AE6&gt;0, (AE$30*VALORI!$B$4)+(AE$31*VALORI!$B$4)+(AE$32*VALORI!$B$3)+(AE$33*VALORI!$B$5),0)</f>
        <v>0</v>
      </c>
      <c r="AF61" s="28">
        <f>IF(AF6&gt;0, (AF$30*VALORI!$B$4)+(AF$31*VALORI!$B$4)+(AF$32*VALORI!$B$3)+(AF$33*VALORI!$B$5),0)</f>
        <v>0</v>
      </c>
      <c r="AG61" s="28">
        <f>IF(AG6&gt;0, (AG$30*VALORI!$B$4)+(AG$31*VALORI!$B$4)+(AG$32*VALORI!$B$3)+(AG$33*VALORI!$B$5),0)</f>
        <v>0</v>
      </c>
      <c r="AH61" s="28">
        <f>IF(AH6&gt;0, (AH$30*VALORI!$B$4)+(AH$31*VALORI!$B$4)+(AH$32*VALORI!$B$3)+(AH$33*VALORI!$B$5),0)</f>
        <v>0</v>
      </c>
      <c r="AI61" s="28">
        <f>IF(AI6&gt;0, (AI$30*VALORI!$B$4)+(AI$31*VALORI!$B$4)+(AI$32*VALORI!$B$3)+(AI$33*VALORI!$B$5),0)</f>
        <v>0</v>
      </c>
      <c r="AJ61" s="28">
        <f>IF(AJ6&gt;0, (AJ$30*VALORI!$B$4)+(AJ$31*VALORI!$B$4)+(AJ$32*VALORI!$B$3)+(AJ$33*VALORI!$B$5),0)</f>
        <v>0</v>
      </c>
      <c r="AK61" s="28">
        <f>IF(AK6&gt;0, (AK$30*VALORI!$B$4)+(AK$31*VALORI!$B$4)+(AK$32*VALORI!$B$3)+(AK$33*VALORI!$B$5),0)</f>
        <v>0</v>
      </c>
      <c r="AL61" s="28">
        <f>IF(AL6&gt;0, (AL$30*VALORI!$B$4)+(AL$31*VALORI!$B$4)+(AL$32*VALORI!$B$3)+(AL$33*VALORI!$B$5),0)</f>
        <v>0</v>
      </c>
      <c r="AM61" s="28">
        <f>IF(AM6&gt;0, (AM$30*VALORI!$B$4)+(AM$31*VALORI!$B$4)+(AM$32*VALORI!$B$3)+(AM$33*VALORI!$B$5),0)</f>
        <v>0</v>
      </c>
      <c r="AN61" s="28">
        <f>IF(AN6&gt;0, (AN$30*VALORI!$B$4)+(AN$31*VALORI!$B$4)+(AN$32*VALORI!$B$3)+(AN$33*VALORI!$B$5),0)</f>
        <v>0</v>
      </c>
      <c r="AO61" s="28">
        <f>IF(AO6&gt;0, (AO$30*VALORI!$B$4)+(AO$31*VALORI!$B$4)+(AO$32*VALORI!$B$3)+(AO$33*VALORI!$B$5),0)</f>
        <v>642</v>
      </c>
    </row>
    <row r="62" spans="15:41" ht="15.75" x14ac:dyDescent="0.25">
      <c r="W62" s="28">
        <f>IF(W7&gt;0, (W$30*VALORI!$B$4)+(W$31*VALORI!$B$4)+(W$32*VALORI!$B$3)+(W$33*VALORI!$B$5),0)</f>
        <v>0</v>
      </c>
      <c r="X62" s="28">
        <f>IF(X7&gt;0, (X$30*VALORI!$B$4)+(X$31*VALORI!$B$4)+(X$32*VALORI!$B$3)+(X$33*VALORI!$B$5),0)</f>
        <v>0</v>
      </c>
      <c r="Y62" s="28">
        <f>IF(Y7&gt;0, (Y$30*VALORI!$B$4)+(Y$31*VALORI!$B$4)+(Y$32*VALORI!$B$3)+(Y$33*VALORI!$B$5),0)</f>
        <v>0</v>
      </c>
      <c r="Z62" s="28">
        <f>IF(Z7&gt;0, (Z$30*VALORI!$B$4)+(Z$31*VALORI!$B$4)+(Z$32*VALORI!$B$3)+(Z$33*VALORI!$B$5),0)</f>
        <v>0</v>
      </c>
      <c r="AA62" s="28">
        <f>IF(AA7&gt;0, (AA$30*VALORI!$B$4)+(AA$31*VALORI!$B$4)+(AA$32*VALORI!$B$3)+(AA$33*VALORI!$B$5),0)</f>
        <v>0</v>
      </c>
      <c r="AB62" s="28">
        <f>IF(AB7&gt;0, (AB$30*VALORI!$B$4)+(AB$31*VALORI!$B$4)+(AB$32*VALORI!$B$3)+(AB$33*VALORI!$B$5),0)</f>
        <v>0</v>
      </c>
      <c r="AC62" s="28">
        <f>IF(AC7&gt;0, (AC$30*VALORI!$B$4)+(AC$31*VALORI!$B$4)+(AC$32*VALORI!$B$3)+(AC$33*VALORI!$B$5),0)</f>
        <v>0</v>
      </c>
      <c r="AD62" s="28">
        <f>IF(AD7&gt;0, (AD$30*VALORI!$B$4)+(AD$31*VALORI!$B$4)+(AD$32*VALORI!$B$3)+(AD$33*VALORI!$B$5),0)</f>
        <v>0</v>
      </c>
      <c r="AE62" s="28">
        <f>IF(AE7&gt;0, (AE$30*VALORI!$B$4)+(AE$31*VALORI!$B$4)+(AE$32*VALORI!$B$3)+(AE$33*VALORI!$B$5),0)</f>
        <v>0</v>
      </c>
      <c r="AF62" s="28">
        <f>IF(AF7&gt;0, (AF$30*VALORI!$B$4)+(AF$31*VALORI!$B$4)+(AF$32*VALORI!$B$3)+(AF$33*VALORI!$B$5),0)</f>
        <v>0</v>
      </c>
      <c r="AG62" s="28">
        <f>IF(AG7&gt;0, (AG$30*VALORI!$B$4)+(AG$31*VALORI!$B$4)+(AG$32*VALORI!$B$3)+(AG$33*VALORI!$B$5),0)</f>
        <v>0</v>
      </c>
      <c r="AH62" s="28">
        <f>IF(AH7&gt;0, (AH$30*VALORI!$B$4)+(AH$31*VALORI!$B$4)+(AH$32*VALORI!$B$3)+(AH$33*VALORI!$B$5),0)</f>
        <v>0</v>
      </c>
      <c r="AI62" s="28">
        <f>IF(AI7&gt;0, (AI$30*VALORI!$B$4)+(AI$31*VALORI!$B$4)+(AI$32*VALORI!$B$3)+(AI$33*VALORI!$B$5),0)</f>
        <v>0</v>
      </c>
      <c r="AJ62" s="28">
        <f>IF(AJ7&gt;0, (AJ$30*VALORI!$B$4)+(AJ$31*VALORI!$B$4)+(AJ$32*VALORI!$B$3)+(AJ$33*VALORI!$B$5),0)</f>
        <v>0</v>
      </c>
      <c r="AK62" s="28">
        <f>IF(AK7&gt;0, (AK$30*VALORI!$B$4)+(AK$31*VALORI!$B$4)+(AK$32*VALORI!$B$3)+(AK$33*VALORI!$B$5),0)</f>
        <v>0</v>
      </c>
      <c r="AL62" s="28">
        <f>IF(AL7&gt;0, (AL$30*VALORI!$B$4)+(AL$31*VALORI!$B$4)+(AL$32*VALORI!$B$3)+(AL$33*VALORI!$B$5),0)</f>
        <v>0</v>
      </c>
      <c r="AM62" s="28">
        <f>IF(AM7&gt;0, (AM$30*VALORI!$B$4)+(AM$31*VALORI!$B$4)+(AM$32*VALORI!$B$3)+(AM$33*VALORI!$B$5),0)</f>
        <v>0</v>
      </c>
      <c r="AN62" s="28">
        <f>IF(AN7&gt;0, (AN$30*VALORI!$B$4)+(AN$31*VALORI!$B$4)+(AN$32*VALORI!$B$3)+(AN$33*VALORI!$B$5),0)</f>
        <v>0</v>
      </c>
      <c r="AO62" s="28">
        <f>IF(AO7&gt;0, (AO$30*VALORI!$B$4)+(AO$31*VALORI!$B$4)+(AO$32*VALORI!$B$3)+(AO$33*VALORI!$B$5),0)</f>
        <v>642</v>
      </c>
    </row>
    <row r="63" spans="15:41" ht="15.75" x14ac:dyDescent="0.25">
      <c r="W63" s="28">
        <f>IF(W8&gt;0, (W$30*VALORI!$B$4)+(W$31*VALORI!$B$4)+(W$32*VALORI!$B$3)+(W$33*VALORI!$B$5),0)</f>
        <v>0</v>
      </c>
      <c r="X63" s="28">
        <f>IF(X8&gt;0, (X$30*VALORI!$B$4)+(X$31*VALORI!$B$4)+(X$32*VALORI!$B$3)+(X$33*VALORI!$B$5),0)</f>
        <v>0</v>
      </c>
      <c r="Y63" s="28">
        <f>IF(Y8&gt;0, (Y$30*VALORI!$B$4)+(Y$31*VALORI!$B$4)+(Y$32*VALORI!$B$3)+(Y$33*VALORI!$B$5),0)</f>
        <v>0</v>
      </c>
      <c r="Z63" s="28">
        <f>IF(Z8&gt;0, (Z$30*VALORI!$B$4)+(Z$31*VALORI!$B$4)+(Z$32*VALORI!$B$3)+(Z$33*VALORI!$B$5),0)</f>
        <v>0</v>
      </c>
      <c r="AA63" s="28">
        <f>IF(AA8&gt;0, (AA$30*VALORI!$B$4)+(AA$31*VALORI!$B$4)+(AA$32*VALORI!$B$3)+(AA$33*VALORI!$B$5),0)</f>
        <v>0</v>
      </c>
      <c r="AB63" s="28">
        <f>IF(AB8&gt;0, (AB$30*VALORI!$B$4)+(AB$31*VALORI!$B$4)+(AB$32*VALORI!$B$3)+(AB$33*VALORI!$B$5),0)</f>
        <v>0</v>
      </c>
      <c r="AC63" s="28">
        <f>IF(AC8&gt;0, (AC$30*VALORI!$B$4)+(AC$31*VALORI!$B$4)+(AC$32*VALORI!$B$3)+(AC$33*VALORI!$B$5),0)</f>
        <v>0</v>
      </c>
      <c r="AD63" s="28">
        <f>IF(AD8&gt;0, (AD$30*VALORI!$B$4)+(AD$31*VALORI!$B$4)+(AD$32*VALORI!$B$3)+(AD$33*VALORI!$B$5),0)</f>
        <v>0</v>
      </c>
      <c r="AE63" s="28">
        <f>IF(AE8&gt;0, (AE$30*VALORI!$B$4)+(AE$31*VALORI!$B$4)+(AE$32*VALORI!$B$3)+(AE$33*VALORI!$B$5),0)</f>
        <v>0</v>
      </c>
      <c r="AF63" s="28">
        <f>IF(AF8&gt;0, (AF$30*VALORI!$B$4)+(AF$31*VALORI!$B$4)+(AF$32*VALORI!$B$3)+(AF$33*VALORI!$B$5),0)</f>
        <v>0</v>
      </c>
      <c r="AG63" s="28">
        <f>IF(AG8&gt;0, (AG$30*VALORI!$B$4)+(AG$31*VALORI!$B$4)+(AG$32*VALORI!$B$3)+(AG$33*VALORI!$B$5),0)</f>
        <v>0</v>
      </c>
      <c r="AH63" s="28">
        <f>IF(AH8&gt;0, (AH$30*VALORI!$B$4)+(AH$31*VALORI!$B$4)+(AH$32*VALORI!$B$3)+(AH$33*VALORI!$B$5),0)</f>
        <v>0</v>
      </c>
      <c r="AI63" s="28">
        <f>IF(AI8&gt;0, (AI$30*VALORI!$B$4)+(AI$31*VALORI!$B$4)+(AI$32*VALORI!$B$3)+(AI$33*VALORI!$B$5),0)</f>
        <v>0</v>
      </c>
      <c r="AJ63" s="28">
        <f>IF(AJ8&gt;0, (AJ$30*VALORI!$B$4)+(AJ$31*VALORI!$B$4)+(AJ$32*VALORI!$B$3)+(AJ$33*VALORI!$B$5),0)</f>
        <v>0</v>
      </c>
      <c r="AK63" s="28">
        <f>IF(AK8&gt;0, (AK$30*VALORI!$B$4)+(AK$31*VALORI!$B$4)+(AK$32*VALORI!$B$3)+(AK$33*VALORI!$B$5),0)</f>
        <v>0</v>
      </c>
      <c r="AL63" s="28">
        <f>IF(AL8&gt;0, (AL$30*VALORI!$B$4)+(AL$31*VALORI!$B$4)+(AL$32*VALORI!$B$3)+(AL$33*VALORI!$B$5),0)</f>
        <v>0</v>
      </c>
      <c r="AM63" s="28">
        <f>IF(AM8&gt;0, (AM$30*VALORI!$B$4)+(AM$31*VALORI!$B$4)+(AM$32*VALORI!$B$3)+(AM$33*VALORI!$B$5),0)</f>
        <v>0</v>
      </c>
      <c r="AN63" s="28">
        <f>IF(AN8&gt;0, (AN$30*VALORI!$B$4)+(AN$31*VALORI!$B$4)+(AN$32*VALORI!$B$3)+(AN$33*VALORI!$B$5),0)</f>
        <v>0</v>
      </c>
      <c r="AO63" s="28">
        <f>IF(AO8&gt;0, (AO$30*VALORI!$B$4)+(AO$31*VALORI!$B$4)+(AO$32*VALORI!$B$3)+(AO$33*VALORI!$B$5),0)</f>
        <v>642</v>
      </c>
    </row>
    <row r="64" spans="15:41" ht="15.75" x14ac:dyDescent="0.25">
      <c r="W64" s="28">
        <f>IF(W9&gt;0, (W$30*VALORI!$B$4)+(W$31*VALORI!$B$4)+(W$32*VALORI!$B$3)+(W$33*VALORI!$B$5),0)</f>
        <v>0</v>
      </c>
      <c r="X64" s="28">
        <f>IF(X9&gt;0, (X$30*VALORI!$B$4)+(X$31*VALORI!$B$4)+(X$32*VALORI!$B$3)+(X$33*VALORI!$B$5),0)</f>
        <v>0</v>
      </c>
      <c r="Y64" s="28">
        <f>IF(Y9&gt;0, (Y$30*VALORI!$B$4)+(Y$31*VALORI!$B$4)+(Y$32*VALORI!$B$3)+(Y$33*VALORI!$B$5),0)</f>
        <v>0</v>
      </c>
      <c r="Z64" s="28">
        <f>IF(Z9&gt;0, (Z$30*VALORI!$B$4)+(Z$31*VALORI!$B$4)+(Z$32*VALORI!$B$3)+(Z$33*VALORI!$B$5),0)</f>
        <v>0</v>
      </c>
      <c r="AA64" s="28">
        <f>IF(AA9&gt;0, (AA$30*VALORI!$B$4)+(AA$31*VALORI!$B$4)+(AA$32*VALORI!$B$3)+(AA$33*VALORI!$B$5),0)</f>
        <v>0</v>
      </c>
      <c r="AB64" s="28">
        <f>IF(AB9&gt;0, (AB$30*VALORI!$B$4)+(AB$31*VALORI!$B$4)+(AB$32*VALORI!$B$3)+(AB$33*VALORI!$B$5),0)</f>
        <v>0</v>
      </c>
      <c r="AC64" s="28">
        <f>IF(AC9&gt;0, (AC$30*VALORI!$B$4)+(AC$31*VALORI!$B$4)+(AC$32*VALORI!$B$3)+(AC$33*VALORI!$B$5),0)</f>
        <v>0</v>
      </c>
      <c r="AD64" s="28">
        <f>IF(AD9&gt;0, (AD$30*VALORI!$B$4)+(AD$31*VALORI!$B$4)+(AD$32*VALORI!$B$3)+(AD$33*VALORI!$B$5),0)</f>
        <v>0</v>
      </c>
      <c r="AE64" s="28">
        <f>IF(AE9&gt;0, (AE$30*VALORI!$B$4)+(AE$31*VALORI!$B$4)+(AE$32*VALORI!$B$3)+(AE$33*VALORI!$B$5),0)</f>
        <v>0</v>
      </c>
      <c r="AF64" s="28">
        <f>IF(AF9&gt;0, (AF$30*VALORI!$B$4)+(AF$31*VALORI!$B$4)+(AF$32*VALORI!$B$3)+(AF$33*VALORI!$B$5),0)</f>
        <v>0</v>
      </c>
      <c r="AG64" s="28">
        <f>IF(AG9&gt;0, (AG$30*VALORI!$B$4)+(AG$31*VALORI!$B$4)+(AG$32*VALORI!$B$3)+(AG$33*VALORI!$B$5),0)</f>
        <v>0</v>
      </c>
      <c r="AH64" s="28">
        <f>IF(AH9&gt;0, (AH$30*VALORI!$B$4)+(AH$31*VALORI!$B$4)+(AH$32*VALORI!$B$3)+(AH$33*VALORI!$B$5),0)</f>
        <v>0</v>
      </c>
      <c r="AI64" s="28">
        <f>IF(AI9&gt;0, (AI$30*VALORI!$B$4)+(AI$31*VALORI!$B$4)+(AI$32*VALORI!$B$3)+(AI$33*VALORI!$B$5),0)</f>
        <v>0</v>
      </c>
      <c r="AJ64" s="28">
        <f>IF(AJ9&gt;0, (AJ$30*VALORI!$B$4)+(AJ$31*VALORI!$B$4)+(AJ$32*VALORI!$B$3)+(AJ$33*VALORI!$B$5),0)</f>
        <v>0</v>
      </c>
      <c r="AK64" s="28">
        <f>IF(AK9&gt;0, (AK$30*VALORI!$B$4)+(AK$31*VALORI!$B$4)+(AK$32*VALORI!$B$3)+(AK$33*VALORI!$B$5),0)</f>
        <v>0</v>
      </c>
      <c r="AL64" s="28">
        <f>IF(AL9&gt;0, (AL$30*VALORI!$B$4)+(AL$31*VALORI!$B$4)+(AL$32*VALORI!$B$3)+(AL$33*VALORI!$B$5),0)</f>
        <v>0</v>
      </c>
      <c r="AM64" s="28">
        <f>IF(AM9&gt;0, (AM$30*VALORI!$B$4)+(AM$31*VALORI!$B$4)+(AM$32*VALORI!$B$3)+(AM$33*VALORI!$B$5),0)</f>
        <v>0</v>
      </c>
      <c r="AN64" s="28">
        <f>IF(AN9&gt;0, (AN$30*VALORI!$B$4)+(AN$31*VALORI!$B$4)+(AN$32*VALORI!$B$3)+(AN$33*VALORI!$B$5),0)</f>
        <v>0</v>
      </c>
      <c r="AO64" s="28">
        <f>IF(AO9&gt;0, (AO$30*VALORI!$B$4)+(AO$31*VALORI!$B$4)+(AO$32*VALORI!$B$3)+(AO$33*VALORI!$B$5),0)</f>
        <v>642</v>
      </c>
    </row>
    <row r="65" spans="23:41" ht="15.75" x14ac:dyDescent="0.25">
      <c r="W65" s="28">
        <f>IF(W10&gt;0, (W$30*VALORI!$B$4)+(W$31*VALORI!$B$4)+(W$32*VALORI!$B$3)+(W$33*VALORI!$B$5),0)</f>
        <v>1240</v>
      </c>
      <c r="X65" s="28">
        <f>IF(X10&gt;0, (X$30*VALORI!$B$4)+(X$31*VALORI!$B$4)+(X$32*VALORI!$B$3)+(X$33*VALORI!$B$5),0)</f>
        <v>3720</v>
      </c>
      <c r="Y65" s="28">
        <f>IF(Y10&gt;0, (Y$30*VALORI!$B$4)+(Y$31*VALORI!$B$4)+(Y$32*VALORI!$B$3)+(Y$33*VALORI!$B$5),0)</f>
        <v>992</v>
      </c>
      <c r="Z65" s="28">
        <f>IF(Z10&gt;0, (Z$30*VALORI!$B$4)+(Z$31*VALORI!$B$4)+(Z$32*VALORI!$B$3)+(Z$33*VALORI!$B$5),0)</f>
        <v>992</v>
      </c>
      <c r="AA65" s="28">
        <f>IF(AA10&gt;0, (AA$30*VALORI!$B$4)+(AA$31*VALORI!$B$4)+(AA$32*VALORI!$B$3)+(AA$33*VALORI!$B$5),0)</f>
        <v>876</v>
      </c>
      <c r="AB65" s="28">
        <f>IF(AB10&gt;0, (AB$30*VALORI!$B$4)+(AB$31*VALORI!$B$4)+(AB$32*VALORI!$B$3)+(AB$33*VALORI!$B$5),0)</f>
        <v>103</v>
      </c>
      <c r="AC65" s="28">
        <f>IF(AC10&gt;0, (AC$30*VALORI!$B$4)+(AC$31*VALORI!$B$4)+(AC$32*VALORI!$B$3)+(AC$33*VALORI!$B$5),0)</f>
        <v>794</v>
      </c>
      <c r="AD65" s="28">
        <f>IF(AD10&gt;0, (AD$30*VALORI!$B$4)+(AD$31*VALORI!$B$4)+(AD$32*VALORI!$B$3)+(AD$33*VALORI!$B$5),0)</f>
        <v>2354</v>
      </c>
      <c r="AE65" s="28">
        <f>IF(AE10&gt;0, (AE$30*VALORI!$B$4)+(AE$31*VALORI!$B$4)+(AE$32*VALORI!$B$3)+(AE$33*VALORI!$B$5),0)</f>
        <v>1268</v>
      </c>
      <c r="AF65" s="28">
        <f>IF(AF10&gt;0, (AF$30*VALORI!$B$4)+(AF$31*VALORI!$B$4)+(AF$32*VALORI!$B$3)+(AF$33*VALORI!$B$5),0)</f>
        <v>1123</v>
      </c>
      <c r="AG65" s="28">
        <f>IF(AG10&gt;0, (AG$30*VALORI!$B$4)+(AG$31*VALORI!$B$4)+(AG$32*VALORI!$B$3)+(AG$33*VALORI!$B$5),0)</f>
        <v>1123</v>
      </c>
      <c r="AH65" s="28">
        <f>IF(AH10&gt;0, (AH$30*VALORI!$B$4)+(AH$31*VALORI!$B$4)+(AH$32*VALORI!$B$3)+(AH$33*VALORI!$B$5),0)</f>
        <v>148</v>
      </c>
      <c r="AI65" s="28">
        <f>IF(AI10&gt;0, (AI$30*VALORI!$B$4)+(AI$31*VALORI!$B$4)+(AI$32*VALORI!$B$3)+(AI$33*VALORI!$B$5),0)</f>
        <v>1600</v>
      </c>
      <c r="AJ65" s="28">
        <f>IF(AJ10&gt;0, (AJ$30*VALORI!$B$4)+(AJ$31*VALORI!$B$4)+(AJ$32*VALORI!$B$3)+(AJ$33*VALORI!$B$5),0)</f>
        <v>634</v>
      </c>
      <c r="AK65" s="28">
        <f>IF(AK10&gt;0, (AK$30*VALORI!$B$4)+(AK$31*VALORI!$B$4)+(AK$32*VALORI!$B$3)+(AK$33*VALORI!$B$5),0)</f>
        <v>3890</v>
      </c>
      <c r="AL65" s="28">
        <f>IF(AL10&gt;0, (AL$30*VALORI!$B$4)+(AL$31*VALORI!$B$4)+(AL$32*VALORI!$B$3)+(AL$33*VALORI!$B$5),0)</f>
        <v>266</v>
      </c>
      <c r="AM65" s="28">
        <f>IF(AM10&gt;0, (AM$30*VALORI!$B$4)+(AM$31*VALORI!$B$4)+(AM$32*VALORI!$B$3)+(AM$33*VALORI!$B$5),0)</f>
        <v>572</v>
      </c>
      <c r="AN65" s="28">
        <f>IF(AN10&gt;0, (AN$30*VALORI!$B$4)+(AN$31*VALORI!$B$4)+(AN$32*VALORI!$B$3)+(AN$33*VALORI!$B$5),0)</f>
        <v>0</v>
      </c>
      <c r="AO65" s="28">
        <f>IF(AO10&gt;0, (AO$30*VALORI!$B$4)+(AO$31*VALORI!$B$4)+(AO$32*VALORI!$B$3)+(AO$33*VALORI!$B$5),0)</f>
        <v>642</v>
      </c>
    </row>
    <row r="66" spans="23:41" ht="15.75" x14ac:dyDescent="0.25">
      <c r="W66" s="28">
        <f>IF(W11&gt;0, (W$30*VALORI!$B$4)+(W$31*VALORI!$B$4)+(W$32*VALORI!$B$3)+(W$33*VALORI!$B$5),0)</f>
        <v>0</v>
      </c>
      <c r="X66" s="28">
        <f>IF(X11&gt;0, (X$30*VALORI!$B$4)+(X$31*VALORI!$B$4)+(X$32*VALORI!$B$3)+(X$33*VALORI!$B$5),0)</f>
        <v>0</v>
      </c>
      <c r="Y66" s="28">
        <f>IF(Y11&gt;0, (Y$30*VALORI!$B$4)+(Y$31*VALORI!$B$4)+(Y$32*VALORI!$B$3)+(Y$33*VALORI!$B$5),0)</f>
        <v>0</v>
      </c>
      <c r="Z66" s="28">
        <f>IF(Z11&gt;0, (Z$30*VALORI!$B$4)+(Z$31*VALORI!$B$4)+(Z$32*VALORI!$B$3)+(Z$33*VALORI!$B$5),0)</f>
        <v>0</v>
      </c>
      <c r="AA66" s="28">
        <f>IF(AA11&gt;0, (AA$30*VALORI!$B$4)+(AA$31*VALORI!$B$4)+(AA$32*VALORI!$B$3)+(AA$33*VALORI!$B$5),0)</f>
        <v>0</v>
      </c>
      <c r="AB66" s="28">
        <f>IF(AB11&gt;0, (AB$30*VALORI!$B$4)+(AB$31*VALORI!$B$4)+(AB$32*VALORI!$B$3)+(AB$33*VALORI!$B$5),0)</f>
        <v>0</v>
      </c>
      <c r="AC66" s="28">
        <f>IF(AC11&gt;0, (AC$30*VALORI!$B$4)+(AC$31*VALORI!$B$4)+(AC$32*VALORI!$B$3)+(AC$33*VALORI!$B$5),0)</f>
        <v>0</v>
      </c>
      <c r="AD66" s="28">
        <f>IF(AD11&gt;0, (AD$30*VALORI!$B$4)+(AD$31*VALORI!$B$4)+(AD$32*VALORI!$B$3)+(AD$33*VALORI!$B$5),0)</f>
        <v>0</v>
      </c>
      <c r="AE66" s="28">
        <f>IF(AE11&gt;0, (AE$30*VALORI!$B$4)+(AE$31*VALORI!$B$4)+(AE$32*VALORI!$B$3)+(AE$33*VALORI!$B$5),0)</f>
        <v>0</v>
      </c>
      <c r="AF66" s="28">
        <f>IF(AF11&gt;0, (AF$30*VALORI!$B$4)+(AF$31*VALORI!$B$4)+(AF$32*VALORI!$B$3)+(AF$33*VALORI!$B$5),0)</f>
        <v>0</v>
      </c>
      <c r="AG66" s="28">
        <f>IF(AG11&gt;0, (AG$30*VALORI!$B$4)+(AG$31*VALORI!$B$4)+(AG$32*VALORI!$B$3)+(AG$33*VALORI!$B$5),0)</f>
        <v>0</v>
      </c>
      <c r="AH66" s="28">
        <f>IF(AH11&gt;0, (AH$30*VALORI!$B$4)+(AH$31*VALORI!$B$4)+(AH$32*VALORI!$B$3)+(AH$33*VALORI!$B$5),0)</f>
        <v>0</v>
      </c>
      <c r="AI66" s="28">
        <f>IF(AI11&gt;0, (AI$30*VALORI!$B$4)+(AI$31*VALORI!$B$4)+(AI$32*VALORI!$B$3)+(AI$33*VALORI!$B$5),0)</f>
        <v>0</v>
      </c>
      <c r="AJ66" s="28">
        <f>IF(AJ11&gt;0, (AJ$30*VALORI!$B$4)+(AJ$31*VALORI!$B$4)+(AJ$32*VALORI!$B$3)+(AJ$33*VALORI!$B$5),0)</f>
        <v>0</v>
      </c>
      <c r="AK66" s="28">
        <f>IF(AK11&gt;0, (AK$30*VALORI!$B$4)+(AK$31*VALORI!$B$4)+(AK$32*VALORI!$B$3)+(AK$33*VALORI!$B$5),0)</f>
        <v>0</v>
      </c>
      <c r="AL66" s="28">
        <f>IF(AL11&gt;0, (AL$30*VALORI!$B$4)+(AL$31*VALORI!$B$4)+(AL$32*VALORI!$B$3)+(AL$33*VALORI!$B$5),0)</f>
        <v>0</v>
      </c>
      <c r="AM66" s="28">
        <f>IF(AM11&gt;0, (AM$30*VALORI!$B$4)+(AM$31*VALORI!$B$4)+(AM$32*VALORI!$B$3)+(AM$33*VALORI!$B$5),0)</f>
        <v>0</v>
      </c>
      <c r="AN66" s="28">
        <f>IF(AN11&gt;0, (AN$30*VALORI!$B$4)+(AN$31*VALORI!$B$4)+(AN$32*VALORI!$B$3)+(AN$33*VALORI!$B$5),0)</f>
        <v>0</v>
      </c>
      <c r="AO66" s="28">
        <f>IF(AO11&gt;0, (AO$30*VALORI!$B$4)+(AO$31*VALORI!$B$4)+(AO$32*VALORI!$B$3)+(AO$33*VALORI!$B$5),0)</f>
        <v>642</v>
      </c>
    </row>
    <row r="67" spans="23:41" ht="15.75" x14ac:dyDescent="0.25">
      <c r="W67" s="28">
        <f>IF(W12&gt;0, (W$30*VALORI!$B$4)+(W$31*VALORI!$B$4)+(W$32*VALORI!$B$3)+(W$33*VALORI!$B$5),0)</f>
        <v>0</v>
      </c>
      <c r="X67" s="28">
        <f>IF(X12&gt;0, (X$30*VALORI!$B$4)+(X$31*VALORI!$B$4)+(X$32*VALORI!$B$3)+(X$33*VALORI!$B$5),0)</f>
        <v>0</v>
      </c>
      <c r="Y67" s="28">
        <f>IF(Y12&gt;0, (Y$30*VALORI!$B$4)+(Y$31*VALORI!$B$4)+(Y$32*VALORI!$B$3)+(Y$33*VALORI!$B$5),0)</f>
        <v>0</v>
      </c>
      <c r="Z67" s="28">
        <f>IF(Z12&gt;0, (Z$30*VALORI!$B$4)+(Z$31*VALORI!$B$4)+(Z$32*VALORI!$B$3)+(Z$33*VALORI!$B$5),0)</f>
        <v>0</v>
      </c>
      <c r="AA67" s="28">
        <f>IF(AA12&gt;0, (AA$30*VALORI!$B$4)+(AA$31*VALORI!$B$4)+(AA$32*VALORI!$B$3)+(AA$33*VALORI!$B$5),0)</f>
        <v>0</v>
      </c>
      <c r="AB67" s="28">
        <f>IF(AB12&gt;0, (AB$30*VALORI!$B$4)+(AB$31*VALORI!$B$4)+(AB$32*VALORI!$B$3)+(AB$33*VALORI!$B$5),0)</f>
        <v>0</v>
      </c>
      <c r="AC67" s="28">
        <f>IF(AC12&gt;0, (AC$30*VALORI!$B$4)+(AC$31*VALORI!$B$4)+(AC$32*VALORI!$B$3)+(AC$33*VALORI!$B$5),0)</f>
        <v>0</v>
      </c>
      <c r="AD67" s="28">
        <f>IF(AD12&gt;0, (AD$30*VALORI!$B$4)+(AD$31*VALORI!$B$4)+(AD$32*VALORI!$B$3)+(AD$33*VALORI!$B$5),0)</f>
        <v>0</v>
      </c>
      <c r="AE67" s="28">
        <f>IF(AE12&gt;0, (AE$30*VALORI!$B$4)+(AE$31*VALORI!$B$4)+(AE$32*VALORI!$B$3)+(AE$33*VALORI!$B$5),0)</f>
        <v>0</v>
      </c>
      <c r="AF67" s="28">
        <f>IF(AF12&gt;0, (AF$30*VALORI!$B$4)+(AF$31*VALORI!$B$4)+(AF$32*VALORI!$B$3)+(AF$33*VALORI!$B$5),0)</f>
        <v>0</v>
      </c>
      <c r="AG67" s="28">
        <f>IF(AG12&gt;0, (AG$30*VALORI!$B$4)+(AG$31*VALORI!$B$4)+(AG$32*VALORI!$B$3)+(AG$33*VALORI!$B$5),0)</f>
        <v>0</v>
      </c>
      <c r="AH67" s="28">
        <f>IF(AH12&gt;0, (AH$30*VALORI!$B$4)+(AH$31*VALORI!$B$4)+(AH$32*VALORI!$B$3)+(AH$33*VALORI!$B$5),0)</f>
        <v>0</v>
      </c>
      <c r="AI67" s="28">
        <f>IF(AI12&gt;0, (AI$30*VALORI!$B$4)+(AI$31*VALORI!$B$4)+(AI$32*VALORI!$B$3)+(AI$33*VALORI!$B$5),0)</f>
        <v>0</v>
      </c>
      <c r="AJ67" s="28">
        <f>IF(AJ12&gt;0, (AJ$30*VALORI!$B$4)+(AJ$31*VALORI!$B$4)+(AJ$32*VALORI!$B$3)+(AJ$33*VALORI!$B$5),0)</f>
        <v>0</v>
      </c>
      <c r="AK67" s="28">
        <f>IF(AK12&gt;0, (AK$30*VALORI!$B$4)+(AK$31*VALORI!$B$4)+(AK$32*VALORI!$B$3)+(AK$33*VALORI!$B$5),0)</f>
        <v>0</v>
      </c>
      <c r="AL67" s="28">
        <f>IF(AL12&gt;0, (AL$30*VALORI!$B$4)+(AL$31*VALORI!$B$4)+(AL$32*VALORI!$B$3)+(AL$33*VALORI!$B$5),0)</f>
        <v>0</v>
      </c>
      <c r="AM67" s="28">
        <f>IF(AM12&gt;0, (AM$30*VALORI!$B$4)+(AM$31*VALORI!$B$4)+(AM$32*VALORI!$B$3)+(AM$33*VALORI!$B$5),0)</f>
        <v>0</v>
      </c>
      <c r="AN67" s="28">
        <f>IF(AN12&gt;0, (AN$30*VALORI!$B$4)+(AN$31*VALORI!$B$4)+(AN$32*VALORI!$B$3)+(AN$33*VALORI!$B$5),0)</f>
        <v>0</v>
      </c>
      <c r="AO67" s="28">
        <f>IF(AO12&gt;0, (AO$30*VALORI!$B$4)+(AO$31*VALORI!$B$4)+(AO$32*VALORI!$B$3)+(AO$33*VALORI!$B$5),0)</f>
        <v>642</v>
      </c>
    </row>
    <row r="68" spans="23:41" ht="15.75" x14ac:dyDescent="0.25">
      <c r="W68" s="28">
        <f>IF(W13&gt;0, (W$30*VALORI!$B$4)+(W$31*VALORI!$B$4)+(W$32*VALORI!$B$3)+(W$33*VALORI!$B$5),0)</f>
        <v>0</v>
      </c>
      <c r="X68" s="28">
        <f>IF(X13&gt;0, (X$30*VALORI!$B$4)+(X$31*VALORI!$B$4)+(X$32*VALORI!$B$3)+(X$33*VALORI!$B$5),0)</f>
        <v>0</v>
      </c>
      <c r="Y68" s="28">
        <f>IF(Y13&gt;0, (Y$30*VALORI!$B$4)+(Y$31*VALORI!$B$4)+(Y$32*VALORI!$B$3)+(Y$33*VALORI!$B$5),0)</f>
        <v>0</v>
      </c>
      <c r="Z68" s="28">
        <f>IF(Z13&gt;0, (Z$30*VALORI!$B$4)+(Z$31*VALORI!$B$4)+(Z$32*VALORI!$B$3)+(Z$33*VALORI!$B$5),0)</f>
        <v>0</v>
      </c>
      <c r="AA68" s="28">
        <f>IF(AA13&gt;0, (AA$30*VALORI!$B$4)+(AA$31*VALORI!$B$4)+(AA$32*VALORI!$B$3)+(AA$33*VALORI!$B$5),0)</f>
        <v>0</v>
      </c>
      <c r="AB68" s="28">
        <f>IF(AB13&gt;0, (AB$30*VALORI!$B$4)+(AB$31*VALORI!$B$4)+(AB$32*VALORI!$B$3)+(AB$33*VALORI!$B$5),0)</f>
        <v>0</v>
      </c>
      <c r="AC68" s="28">
        <f>IF(AC13&gt;0, (AC$30*VALORI!$B$4)+(AC$31*VALORI!$B$4)+(AC$32*VALORI!$B$3)+(AC$33*VALORI!$B$5),0)</f>
        <v>0</v>
      </c>
      <c r="AD68" s="28">
        <f>IF(AD13&gt;0, (AD$30*VALORI!$B$4)+(AD$31*VALORI!$B$4)+(AD$32*VALORI!$B$3)+(AD$33*VALORI!$B$5),0)</f>
        <v>0</v>
      </c>
      <c r="AE68" s="28">
        <f>IF(AE13&gt;0, (AE$30*VALORI!$B$4)+(AE$31*VALORI!$B$4)+(AE$32*VALORI!$B$3)+(AE$33*VALORI!$B$5),0)</f>
        <v>0</v>
      </c>
      <c r="AF68" s="28">
        <f>IF(AF13&gt;0, (AF$30*VALORI!$B$4)+(AF$31*VALORI!$B$4)+(AF$32*VALORI!$B$3)+(AF$33*VALORI!$B$5),0)</f>
        <v>0</v>
      </c>
      <c r="AG68" s="28">
        <f>IF(AG13&gt;0, (AG$30*VALORI!$B$4)+(AG$31*VALORI!$B$4)+(AG$32*VALORI!$B$3)+(AG$33*VALORI!$B$5),0)</f>
        <v>0</v>
      </c>
      <c r="AH68" s="28">
        <f>IF(AH13&gt;0, (AH$30*VALORI!$B$4)+(AH$31*VALORI!$B$4)+(AH$32*VALORI!$B$3)+(AH$33*VALORI!$B$5),0)</f>
        <v>0</v>
      </c>
      <c r="AI68" s="28">
        <f>IF(AI13&gt;0, (AI$30*VALORI!$B$4)+(AI$31*VALORI!$B$4)+(AI$32*VALORI!$B$3)+(AI$33*VALORI!$B$5),0)</f>
        <v>0</v>
      </c>
      <c r="AJ68" s="28">
        <f>IF(AJ13&gt;0, (AJ$30*VALORI!$B$4)+(AJ$31*VALORI!$B$4)+(AJ$32*VALORI!$B$3)+(AJ$33*VALORI!$B$5),0)</f>
        <v>0</v>
      </c>
      <c r="AK68" s="28">
        <f>IF(AK13&gt;0, (AK$30*VALORI!$B$4)+(AK$31*VALORI!$B$4)+(AK$32*VALORI!$B$3)+(AK$33*VALORI!$B$5),0)</f>
        <v>0</v>
      </c>
      <c r="AL68" s="28">
        <f>IF(AL13&gt;0, (AL$30*VALORI!$B$4)+(AL$31*VALORI!$B$4)+(AL$32*VALORI!$B$3)+(AL$33*VALORI!$B$5),0)</f>
        <v>0</v>
      </c>
      <c r="AM68" s="28">
        <f>IF(AM13&gt;0, (AM$30*VALORI!$B$4)+(AM$31*VALORI!$B$4)+(AM$32*VALORI!$B$3)+(AM$33*VALORI!$B$5),0)</f>
        <v>0</v>
      </c>
      <c r="AN68" s="28">
        <f>IF(AN13&gt;0, (AN$30*VALORI!$B$4)+(AN$31*VALORI!$B$4)+(AN$32*VALORI!$B$3)+(AN$33*VALORI!$B$5),0)</f>
        <v>0</v>
      </c>
      <c r="AO68" s="28">
        <f>IF(AO13&gt;0, (AO$30*VALORI!$B$4)+(AO$31*VALORI!$B$4)+(AO$32*VALORI!$B$3)+(AO$33*VALORI!$B$5),0)</f>
        <v>642</v>
      </c>
    </row>
    <row r="69" spans="23:41" ht="15.75" x14ac:dyDescent="0.25">
      <c r="W69" s="28">
        <f>IF(W14&gt;0, (W$30*VALORI!$B$4)+(W$31*VALORI!$B$4)+(W$32*VALORI!$B$3)+(W$33*VALORI!$B$5),0)</f>
        <v>0</v>
      </c>
      <c r="X69" s="28">
        <f>IF(X14&gt;0, (X$30*VALORI!$B$4)+(X$31*VALORI!$B$4)+(X$32*VALORI!$B$3)+(X$33*VALORI!$B$5),0)</f>
        <v>0</v>
      </c>
      <c r="Y69" s="28">
        <f>IF(Y14&gt;0, (Y$30*VALORI!$B$4)+(Y$31*VALORI!$B$4)+(Y$32*VALORI!$B$3)+(Y$33*VALORI!$B$5),0)</f>
        <v>0</v>
      </c>
      <c r="Z69" s="28">
        <f>IF(Z14&gt;0, (Z$30*VALORI!$B$4)+(Z$31*VALORI!$B$4)+(Z$32*VALORI!$B$3)+(Z$33*VALORI!$B$5),0)</f>
        <v>0</v>
      </c>
      <c r="AA69" s="28">
        <f>IF(AA14&gt;0, (AA$30*VALORI!$B$4)+(AA$31*VALORI!$B$4)+(AA$32*VALORI!$B$3)+(AA$33*VALORI!$B$5),0)</f>
        <v>0</v>
      </c>
      <c r="AB69" s="28">
        <f>IF(AB14&gt;0, (AB$30*VALORI!$B$4)+(AB$31*VALORI!$B$4)+(AB$32*VALORI!$B$3)+(AB$33*VALORI!$B$5),0)</f>
        <v>0</v>
      </c>
      <c r="AC69" s="28">
        <f>IF(AC14&gt;0, (AC$30*VALORI!$B$4)+(AC$31*VALORI!$B$4)+(AC$32*VALORI!$B$3)+(AC$33*VALORI!$B$5),0)</f>
        <v>0</v>
      </c>
      <c r="AD69" s="28">
        <f>IF(AD14&gt;0, (AD$30*VALORI!$B$4)+(AD$31*VALORI!$B$4)+(AD$32*VALORI!$B$3)+(AD$33*VALORI!$B$5),0)</f>
        <v>0</v>
      </c>
      <c r="AE69" s="28">
        <f>IF(AE14&gt;0, (AE$30*VALORI!$B$4)+(AE$31*VALORI!$B$4)+(AE$32*VALORI!$B$3)+(AE$33*VALORI!$B$5),0)</f>
        <v>0</v>
      </c>
      <c r="AF69" s="28">
        <f>IF(AF14&gt;0, (AF$30*VALORI!$B$4)+(AF$31*VALORI!$B$4)+(AF$32*VALORI!$B$3)+(AF$33*VALORI!$B$5),0)</f>
        <v>0</v>
      </c>
      <c r="AG69" s="28">
        <f>IF(AG14&gt;0, (AG$30*VALORI!$B$4)+(AG$31*VALORI!$B$4)+(AG$32*VALORI!$B$3)+(AG$33*VALORI!$B$5),0)</f>
        <v>0</v>
      </c>
      <c r="AH69" s="28">
        <f>IF(AH14&gt;0, (AH$30*VALORI!$B$4)+(AH$31*VALORI!$B$4)+(AH$32*VALORI!$B$3)+(AH$33*VALORI!$B$5),0)</f>
        <v>0</v>
      </c>
      <c r="AI69" s="28">
        <f>IF(AI14&gt;0, (AI$30*VALORI!$B$4)+(AI$31*VALORI!$B$4)+(AI$32*VALORI!$B$3)+(AI$33*VALORI!$B$5),0)</f>
        <v>0</v>
      </c>
      <c r="AJ69" s="28">
        <f>IF(AJ14&gt;0, (AJ$30*VALORI!$B$4)+(AJ$31*VALORI!$B$4)+(AJ$32*VALORI!$B$3)+(AJ$33*VALORI!$B$5),0)</f>
        <v>0</v>
      </c>
      <c r="AK69" s="28">
        <f>IF(AK14&gt;0, (AK$30*VALORI!$B$4)+(AK$31*VALORI!$B$4)+(AK$32*VALORI!$B$3)+(AK$33*VALORI!$B$5),0)</f>
        <v>0</v>
      </c>
      <c r="AL69" s="28">
        <f>IF(AL14&gt;0, (AL$30*VALORI!$B$4)+(AL$31*VALORI!$B$4)+(AL$32*VALORI!$B$3)+(AL$33*VALORI!$B$5),0)</f>
        <v>0</v>
      </c>
      <c r="AM69" s="28">
        <f>IF(AM14&gt;0, (AM$30*VALORI!$B$4)+(AM$31*VALORI!$B$4)+(AM$32*VALORI!$B$3)+(AM$33*VALORI!$B$5),0)</f>
        <v>0</v>
      </c>
      <c r="AN69" s="28">
        <f>IF(AN14&gt;0, (AN$30*VALORI!$B$4)+(AN$31*VALORI!$B$4)+(AN$32*VALORI!$B$3)+(AN$33*VALORI!$B$5),0)</f>
        <v>0</v>
      </c>
      <c r="AO69" s="28">
        <f>IF(AO14&gt;0, (AO$30*VALORI!$B$4)+(AO$31*VALORI!$B$4)+(AO$32*VALORI!$B$3)+(AO$33*VALORI!$B$5),0)</f>
        <v>642</v>
      </c>
    </row>
    <row r="70" spans="23:41" ht="15.75" x14ac:dyDescent="0.25">
      <c r="W70" s="28">
        <f>IF(W15&gt;0, (W$30*VALORI!$B$4)+(W$31*VALORI!$B$4)+(W$32*VALORI!$B$3)+(W$33*VALORI!$B$5),0)</f>
        <v>1240</v>
      </c>
      <c r="X70" s="28">
        <f>IF(X15&gt;0, (X$30*VALORI!$B$4)+(X$31*VALORI!$B$4)+(X$32*VALORI!$B$3)+(X$33*VALORI!$B$5),0)</f>
        <v>3720</v>
      </c>
      <c r="Y70" s="28">
        <f>IF(Y15&gt;0, (Y$30*VALORI!$B$4)+(Y$31*VALORI!$B$4)+(Y$32*VALORI!$B$3)+(Y$33*VALORI!$B$5),0)</f>
        <v>992</v>
      </c>
      <c r="Z70" s="28">
        <f>IF(Z15&gt;0, (Z$30*VALORI!$B$4)+(Z$31*VALORI!$B$4)+(Z$32*VALORI!$B$3)+(Z$33*VALORI!$B$5),0)</f>
        <v>992</v>
      </c>
      <c r="AA70" s="28">
        <f>IF(AA15&gt;0, (AA$30*VALORI!$B$4)+(AA$31*VALORI!$B$4)+(AA$32*VALORI!$B$3)+(AA$33*VALORI!$B$5),0)</f>
        <v>876</v>
      </c>
      <c r="AB70" s="28">
        <f>IF(AB15&gt;0, (AB$30*VALORI!$B$4)+(AB$31*VALORI!$B$4)+(AB$32*VALORI!$B$3)+(AB$33*VALORI!$B$5),0)</f>
        <v>103</v>
      </c>
      <c r="AC70" s="28">
        <f>IF(AC15&gt;0, (AC$30*VALORI!$B$4)+(AC$31*VALORI!$B$4)+(AC$32*VALORI!$B$3)+(AC$33*VALORI!$B$5),0)</f>
        <v>794</v>
      </c>
      <c r="AD70" s="28">
        <f>IF(AD15&gt;0, (AD$30*VALORI!$B$4)+(AD$31*VALORI!$B$4)+(AD$32*VALORI!$B$3)+(AD$33*VALORI!$B$5),0)</f>
        <v>2354</v>
      </c>
      <c r="AE70" s="28">
        <f>IF(AE15&gt;0, (AE$30*VALORI!$B$4)+(AE$31*VALORI!$B$4)+(AE$32*VALORI!$B$3)+(AE$33*VALORI!$B$5),0)</f>
        <v>1268</v>
      </c>
      <c r="AF70" s="28">
        <f>IF(AF15&gt;0, (AF$30*VALORI!$B$4)+(AF$31*VALORI!$B$4)+(AF$32*VALORI!$B$3)+(AF$33*VALORI!$B$5),0)</f>
        <v>1123</v>
      </c>
      <c r="AG70" s="28">
        <f>IF(AG15&gt;0, (AG$30*VALORI!$B$4)+(AG$31*VALORI!$B$4)+(AG$32*VALORI!$B$3)+(AG$33*VALORI!$B$5),0)</f>
        <v>1123</v>
      </c>
      <c r="AH70" s="28">
        <f>IF(AH15&gt;0, (AH$30*VALORI!$B$4)+(AH$31*VALORI!$B$4)+(AH$32*VALORI!$B$3)+(AH$33*VALORI!$B$5),0)</f>
        <v>148</v>
      </c>
      <c r="AI70" s="28">
        <f>IF(AI15&gt;0, (AI$30*VALORI!$B$4)+(AI$31*VALORI!$B$4)+(AI$32*VALORI!$B$3)+(AI$33*VALORI!$B$5),0)</f>
        <v>1600</v>
      </c>
      <c r="AJ70" s="28">
        <f>IF(AJ15&gt;0, (AJ$30*VALORI!$B$4)+(AJ$31*VALORI!$B$4)+(AJ$32*VALORI!$B$3)+(AJ$33*VALORI!$B$5),0)</f>
        <v>634</v>
      </c>
      <c r="AK70" s="28">
        <f>IF(AK15&gt;0, (AK$30*VALORI!$B$4)+(AK$31*VALORI!$B$4)+(AK$32*VALORI!$B$3)+(AK$33*VALORI!$B$5),0)</f>
        <v>3890</v>
      </c>
      <c r="AL70" s="28">
        <f>IF(AL15&gt;0, (AL$30*VALORI!$B$4)+(AL$31*VALORI!$B$4)+(AL$32*VALORI!$B$3)+(AL$33*VALORI!$B$5),0)</f>
        <v>266</v>
      </c>
      <c r="AM70" s="28">
        <f>IF(AM15&gt;0, (AM$30*VALORI!$B$4)+(AM$31*VALORI!$B$4)+(AM$32*VALORI!$B$3)+(AM$33*VALORI!$B$5),0)</f>
        <v>572</v>
      </c>
      <c r="AN70" s="28">
        <f>IF(AN15&gt;0, (AN$30*VALORI!$B$4)+(AN$31*VALORI!$B$4)+(AN$32*VALORI!$B$3)+(AN$33*VALORI!$B$5),0)</f>
        <v>0</v>
      </c>
      <c r="AO70" s="28">
        <f>IF(AO15&gt;0, (AO$30*VALORI!$B$4)+(AO$31*VALORI!$B$4)+(AO$32*VALORI!$B$3)+(AO$33*VALORI!$B$5),0)</f>
        <v>642</v>
      </c>
    </row>
    <row r="71" spans="23:41" ht="15.75" x14ac:dyDescent="0.25">
      <c r="W71" s="28">
        <f>IF(W16&gt;0, (W$30*VALORI!$B$4)+(W$31*VALORI!$B$4)+(W$32*VALORI!$B$3)+(W$33*VALORI!$B$5),0)</f>
        <v>0</v>
      </c>
      <c r="X71" s="28">
        <f>IF(X16&gt;0, (X$30*VALORI!$B$4)+(X$31*VALORI!$B$4)+(X$32*VALORI!$B$3)+(X$33*VALORI!$B$5),0)</f>
        <v>0</v>
      </c>
      <c r="Y71" s="28">
        <f>IF(Y16&gt;0, (Y$30*VALORI!$B$4)+(Y$31*VALORI!$B$4)+(Y$32*VALORI!$B$3)+(Y$33*VALORI!$B$5),0)</f>
        <v>0</v>
      </c>
      <c r="Z71" s="28">
        <f>IF(Z16&gt;0, (Z$30*VALORI!$B$4)+(Z$31*VALORI!$B$4)+(Z$32*VALORI!$B$3)+(Z$33*VALORI!$B$5),0)</f>
        <v>0</v>
      </c>
      <c r="AA71" s="28">
        <f>IF(AA16&gt;0, (AA$30*VALORI!$B$4)+(AA$31*VALORI!$B$4)+(AA$32*VALORI!$B$3)+(AA$33*VALORI!$B$5),0)</f>
        <v>0</v>
      </c>
      <c r="AB71" s="28">
        <f>IF(AB16&gt;0, (AB$30*VALORI!$B$4)+(AB$31*VALORI!$B$4)+(AB$32*VALORI!$B$3)+(AB$33*VALORI!$B$5),0)</f>
        <v>0</v>
      </c>
      <c r="AC71" s="28">
        <f>IF(AC16&gt;0, (AC$30*VALORI!$B$4)+(AC$31*VALORI!$B$4)+(AC$32*VALORI!$B$3)+(AC$33*VALORI!$B$5),0)</f>
        <v>0</v>
      </c>
      <c r="AD71" s="28">
        <f>IF(AD16&gt;0, (AD$30*VALORI!$B$4)+(AD$31*VALORI!$B$4)+(AD$32*VALORI!$B$3)+(AD$33*VALORI!$B$5),0)</f>
        <v>0</v>
      </c>
      <c r="AE71" s="28">
        <f>IF(AE16&gt;0, (AE$30*VALORI!$B$4)+(AE$31*VALORI!$B$4)+(AE$32*VALORI!$B$3)+(AE$33*VALORI!$B$5),0)</f>
        <v>0</v>
      </c>
      <c r="AF71" s="28">
        <f>IF(AF16&gt;0, (AF$30*VALORI!$B$4)+(AF$31*VALORI!$B$4)+(AF$32*VALORI!$B$3)+(AF$33*VALORI!$B$5),0)</f>
        <v>0</v>
      </c>
      <c r="AG71" s="28">
        <f>IF(AG16&gt;0, (AG$30*VALORI!$B$4)+(AG$31*VALORI!$B$4)+(AG$32*VALORI!$B$3)+(AG$33*VALORI!$B$5),0)</f>
        <v>0</v>
      </c>
      <c r="AH71" s="28">
        <f>IF(AH16&gt;0, (AH$30*VALORI!$B$4)+(AH$31*VALORI!$B$4)+(AH$32*VALORI!$B$3)+(AH$33*VALORI!$B$5),0)</f>
        <v>0</v>
      </c>
      <c r="AI71" s="28">
        <f>IF(AI16&gt;0, (AI$30*VALORI!$B$4)+(AI$31*VALORI!$B$4)+(AI$32*VALORI!$B$3)+(AI$33*VALORI!$B$5),0)</f>
        <v>0</v>
      </c>
      <c r="AJ71" s="28">
        <f>IF(AJ16&gt;0, (AJ$30*VALORI!$B$4)+(AJ$31*VALORI!$B$4)+(AJ$32*VALORI!$B$3)+(AJ$33*VALORI!$B$5),0)</f>
        <v>0</v>
      </c>
      <c r="AK71" s="28">
        <f>IF(AK16&gt;0, (AK$30*VALORI!$B$4)+(AK$31*VALORI!$B$4)+(AK$32*VALORI!$B$3)+(AK$33*VALORI!$B$5),0)</f>
        <v>0</v>
      </c>
      <c r="AL71" s="28">
        <f>IF(AL16&gt;0, (AL$30*VALORI!$B$4)+(AL$31*VALORI!$B$4)+(AL$32*VALORI!$B$3)+(AL$33*VALORI!$B$5),0)</f>
        <v>0</v>
      </c>
      <c r="AM71" s="28">
        <f>IF(AM16&gt;0, (AM$30*VALORI!$B$4)+(AM$31*VALORI!$B$4)+(AM$32*VALORI!$B$3)+(AM$33*VALORI!$B$5),0)</f>
        <v>0</v>
      </c>
      <c r="AN71" s="28">
        <f>IF(AN16&gt;0, (AN$30*VALORI!$B$4)+(AN$31*VALORI!$B$4)+(AN$32*VALORI!$B$3)+(AN$33*VALORI!$B$5),0)</f>
        <v>0</v>
      </c>
      <c r="AO71" s="28">
        <f>IF(AO16&gt;0, (AO$30*VALORI!$B$4)+(AO$31*VALORI!$B$4)+(AO$32*VALORI!$B$3)+(AO$33*VALORI!$B$5),0)</f>
        <v>642</v>
      </c>
    </row>
    <row r="72" spans="23:41" ht="15.75" x14ac:dyDescent="0.25">
      <c r="W72" s="28">
        <f>IF(W17&gt;0, (W$30*VALORI!$B$4)+(W$31*VALORI!$B$4)+(W$32*VALORI!$B$3)+(W$33*VALORI!$B$5),0)</f>
        <v>0</v>
      </c>
      <c r="X72" s="28">
        <f>IF(X17&gt;0, (X$30*VALORI!$B$4)+(X$31*VALORI!$B$4)+(X$32*VALORI!$B$3)+(X$33*VALORI!$B$5),0)</f>
        <v>0</v>
      </c>
      <c r="Y72" s="28">
        <f>IF(Y17&gt;0, (Y$30*VALORI!$B$4)+(Y$31*VALORI!$B$4)+(Y$32*VALORI!$B$3)+(Y$33*VALORI!$B$5),0)</f>
        <v>0</v>
      </c>
      <c r="Z72" s="28">
        <f>IF(Z17&gt;0, (Z$30*VALORI!$B$4)+(Z$31*VALORI!$B$4)+(Z$32*VALORI!$B$3)+(Z$33*VALORI!$B$5),0)</f>
        <v>0</v>
      </c>
      <c r="AA72" s="28">
        <f>IF(AA17&gt;0, (AA$30*VALORI!$B$4)+(AA$31*VALORI!$B$4)+(AA$32*VALORI!$B$3)+(AA$33*VALORI!$B$5),0)</f>
        <v>0</v>
      </c>
      <c r="AB72" s="28">
        <f>IF(AB17&gt;0, (AB$30*VALORI!$B$4)+(AB$31*VALORI!$B$4)+(AB$32*VALORI!$B$3)+(AB$33*VALORI!$B$5),0)</f>
        <v>0</v>
      </c>
      <c r="AC72" s="28">
        <f>IF(AC17&gt;0, (AC$30*VALORI!$B$4)+(AC$31*VALORI!$B$4)+(AC$32*VALORI!$B$3)+(AC$33*VALORI!$B$5),0)</f>
        <v>0</v>
      </c>
      <c r="AD72" s="28">
        <f>IF(AD17&gt;0, (AD$30*VALORI!$B$4)+(AD$31*VALORI!$B$4)+(AD$32*VALORI!$B$3)+(AD$33*VALORI!$B$5),0)</f>
        <v>0</v>
      </c>
      <c r="AE72" s="28">
        <f>IF(AE17&gt;0, (AE$30*VALORI!$B$4)+(AE$31*VALORI!$B$4)+(AE$32*VALORI!$B$3)+(AE$33*VALORI!$B$5),0)</f>
        <v>0</v>
      </c>
      <c r="AF72" s="28">
        <f>IF(AF17&gt;0, (AF$30*VALORI!$B$4)+(AF$31*VALORI!$B$4)+(AF$32*VALORI!$B$3)+(AF$33*VALORI!$B$5),0)</f>
        <v>0</v>
      </c>
      <c r="AG72" s="28">
        <f>IF(AG17&gt;0, (AG$30*VALORI!$B$4)+(AG$31*VALORI!$B$4)+(AG$32*VALORI!$B$3)+(AG$33*VALORI!$B$5),0)</f>
        <v>0</v>
      </c>
      <c r="AH72" s="28">
        <f>IF(AH17&gt;0, (AH$30*VALORI!$B$4)+(AH$31*VALORI!$B$4)+(AH$32*VALORI!$B$3)+(AH$33*VALORI!$B$5),0)</f>
        <v>0</v>
      </c>
      <c r="AI72" s="28">
        <f>IF(AI17&gt;0, (AI$30*VALORI!$B$4)+(AI$31*VALORI!$B$4)+(AI$32*VALORI!$B$3)+(AI$33*VALORI!$B$5),0)</f>
        <v>0</v>
      </c>
      <c r="AJ72" s="28">
        <f>IF(AJ17&gt;0, (AJ$30*VALORI!$B$4)+(AJ$31*VALORI!$B$4)+(AJ$32*VALORI!$B$3)+(AJ$33*VALORI!$B$5),0)</f>
        <v>0</v>
      </c>
      <c r="AK72" s="28">
        <f>IF(AK17&gt;0, (AK$30*VALORI!$B$4)+(AK$31*VALORI!$B$4)+(AK$32*VALORI!$B$3)+(AK$33*VALORI!$B$5),0)</f>
        <v>0</v>
      </c>
      <c r="AL72" s="28">
        <f>IF(AL17&gt;0, (AL$30*VALORI!$B$4)+(AL$31*VALORI!$B$4)+(AL$32*VALORI!$B$3)+(AL$33*VALORI!$B$5),0)</f>
        <v>0</v>
      </c>
      <c r="AM72" s="28">
        <f>IF(AM17&gt;0, (AM$30*VALORI!$B$4)+(AM$31*VALORI!$B$4)+(AM$32*VALORI!$B$3)+(AM$33*VALORI!$B$5),0)</f>
        <v>0</v>
      </c>
      <c r="AN72" s="28">
        <f>IF(AN17&gt;0, (AN$30*VALORI!$B$4)+(AN$31*VALORI!$B$4)+(AN$32*VALORI!$B$3)+(AN$33*VALORI!$B$5),0)</f>
        <v>0</v>
      </c>
      <c r="AO72" s="28">
        <f>IF(AO17&gt;0, (AO$30*VALORI!$B$4)+(AO$31*VALORI!$B$4)+(AO$32*VALORI!$B$3)+(AO$33*VALORI!$B$5),0)</f>
        <v>642</v>
      </c>
    </row>
    <row r="73" spans="23:41" ht="15.75" x14ac:dyDescent="0.25">
      <c r="W73" s="28">
        <f>IF(W18&gt;0, (W$30*VALORI!$B$4)+(W$31*VALORI!$B$4)+(W$32*VALORI!$B$3)+(W$33*VALORI!$B$5),0)</f>
        <v>0</v>
      </c>
      <c r="X73" s="28">
        <f>IF(X18&gt;0, (X$30*VALORI!$B$4)+(X$31*VALORI!$B$4)+(X$32*VALORI!$B$3)+(X$33*VALORI!$B$5),0)</f>
        <v>0</v>
      </c>
      <c r="Y73" s="28">
        <f>IF(Y18&gt;0, (Y$30*VALORI!$B$4)+(Y$31*VALORI!$B$4)+(Y$32*VALORI!$B$3)+(Y$33*VALORI!$B$5),0)</f>
        <v>0</v>
      </c>
      <c r="Z73" s="28">
        <f>IF(Z18&gt;0, (Z$30*VALORI!$B$4)+(Z$31*VALORI!$B$4)+(Z$32*VALORI!$B$3)+(Z$33*VALORI!$B$5),0)</f>
        <v>0</v>
      </c>
      <c r="AA73" s="28">
        <f>IF(AA18&gt;0, (AA$30*VALORI!$B$4)+(AA$31*VALORI!$B$4)+(AA$32*VALORI!$B$3)+(AA$33*VALORI!$B$5),0)</f>
        <v>0</v>
      </c>
      <c r="AB73" s="28">
        <f>IF(AB18&gt;0, (AB$30*VALORI!$B$4)+(AB$31*VALORI!$B$4)+(AB$32*VALORI!$B$3)+(AB$33*VALORI!$B$5),0)</f>
        <v>0</v>
      </c>
      <c r="AC73" s="28">
        <f>IF(AC18&gt;0, (AC$30*VALORI!$B$4)+(AC$31*VALORI!$B$4)+(AC$32*VALORI!$B$3)+(AC$33*VALORI!$B$5),0)</f>
        <v>0</v>
      </c>
      <c r="AD73" s="28">
        <f>IF(AD18&gt;0, (AD$30*VALORI!$B$4)+(AD$31*VALORI!$B$4)+(AD$32*VALORI!$B$3)+(AD$33*VALORI!$B$5),0)</f>
        <v>0</v>
      </c>
      <c r="AE73" s="28">
        <f>IF(AE18&gt;0, (AE$30*VALORI!$B$4)+(AE$31*VALORI!$B$4)+(AE$32*VALORI!$B$3)+(AE$33*VALORI!$B$5),0)</f>
        <v>0</v>
      </c>
      <c r="AF73" s="28">
        <f>IF(AF18&gt;0, (AF$30*VALORI!$B$4)+(AF$31*VALORI!$B$4)+(AF$32*VALORI!$B$3)+(AF$33*VALORI!$B$5),0)</f>
        <v>0</v>
      </c>
      <c r="AG73" s="28">
        <f>IF(AG18&gt;0, (AG$30*VALORI!$B$4)+(AG$31*VALORI!$B$4)+(AG$32*VALORI!$B$3)+(AG$33*VALORI!$B$5),0)</f>
        <v>0</v>
      </c>
      <c r="AH73" s="28">
        <f>IF(AH18&gt;0, (AH$30*VALORI!$B$4)+(AH$31*VALORI!$B$4)+(AH$32*VALORI!$B$3)+(AH$33*VALORI!$B$5),0)</f>
        <v>0</v>
      </c>
      <c r="AI73" s="28">
        <f>IF(AI18&gt;0, (AI$30*VALORI!$B$4)+(AI$31*VALORI!$B$4)+(AI$32*VALORI!$B$3)+(AI$33*VALORI!$B$5),0)</f>
        <v>0</v>
      </c>
      <c r="AJ73" s="28">
        <f>IF(AJ18&gt;0, (AJ$30*VALORI!$B$4)+(AJ$31*VALORI!$B$4)+(AJ$32*VALORI!$B$3)+(AJ$33*VALORI!$B$5),0)</f>
        <v>0</v>
      </c>
      <c r="AK73" s="28">
        <f>IF(AK18&gt;0, (AK$30*VALORI!$B$4)+(AK$31*VALORI!$B$4)+(AK$32*VALORI!$B$3)+(AK$33*VALORI!$B$5),0)</f>
        <v>0</v>
      </c>
      <c r="AL73" s="28">
        <f>IF(AL18&gt;0, (AL$30*VALORI!$B$4)+(AL$31*VALORI!$B$4)+(AL$32*VALORI!$B$3)+(AL$33*VALORI!$B$5),0)</f>
        <v>0</v>
      </c>
      <c r="AM73" s="28">
        <f>IF(AM18&gt;0, (AM$30*VALORI!$B$4)+(AM$31*VALORI!$B$4)+(AM$32*VALORI!$B$3)+(AM$33*VALORI!$B$5),0)</f>
        <v>0</v>
      </c>
      <c r="AN73" s="28">
        <f>IF(AN18&gt;0, (AN$30*VALORI!$B$4)+(AN$31*VALORI!$B$4)+(AN$32*VALORI!$B$3)+(AN$33*VALORI!$B$5),0)</f>
        <v>0</v>
      </c>
      <c r="AO73" s="28">
        <f>IF(AO18&gt;0, (AO$30*VALORI!$B$4)+(AO$31*VALORI!$B$4)+(AO$32*VALORI!$B$3)+(AO$33*VALORI!$B$5),0)</f>
        <v>642</v>
      </c>
    </row>
    <row r="74" spans="23:41" ht="15.75" x14ac:dyDescent="0.25">
      <c r="W74" s="28">
        <f>IF(W19&gt;0, (W$30*VALORI!$B$4)+(W$31*VALORI!$B$4)+(W$32*VALORI!$B$3)+(W$33*VALORI!$B$5),0)</f>
        <v>0</v>
      </c>
      <c r="X74" s="28">
        <f>IF(X19&gt;0, (X$30*VALORI!$B$4)+(X$31*VALORI!$B$4)+(X$32*VALORI!$B$3)+(X$33*VALORI!$B$5),0)</f>
        <v>0</v>
      </c>
      <c r="Y74" s="28">
        <f>IF(Y19&gt;0, (Y$30*VALORI!$B$4)+(Y$31*VALORI!$B$4)+(Y$32*VALORI!$B$3)+(Y$33*VALORI!$B$5),0)</f>
        <v>0</v>
      </c>
      <c r="Z74" s="28">
        <f>IF(Z19&gt;0, (Z$30*VALORI!$B$4)+(Z$31*VALORI!$B$4)+(Z$32*VALORI!$B$3)+(Z$33*VALORI!$B$5),0)</f>
        <v>0</v>
      </c>
      <c r="AA74" s="28">
        <f>IF(AA19&gt;0, (AA$30*VALORI!$B$4)+(AA$31*VALORI!$B$4)+(AA$32*VALORI!$B$3)+(AA$33*VALORI!$B$5),0)</f>
        <v>0</v>
      </c>
      <c r="AB74" s="28">
        <f>IF(AB19&gt;0, (AB$30*VALORI!$B$4)+(AB$31*VALORI!$B$4)+(AB$32*VALORI!$B$3)+(AB$33*VALORI!$B$5),0)</f>
        <v>0</v>
      </c>
      <c r="AC74" s="28">
        <f>IF(AC19&gt;0, (AC$30*VALORI!$B$4)+(AC$31*VALORI!$B$4)+(AC$32*VALORI!$B$3)+(AC$33*VALORI!$B$5),0)</f>
        <v>0</v>
      </c>
      <c r="AD74" s="28">
        <f>IF(AD19&gt;0, (AD$30*VALORI!$B$4)+(AD$31*VALORI!$B$4)+(AD$32*VALORI!$B$3)+(AD$33*VALORI!$B$5),0)</f>
        <v>0</v>
      </c>
      <c r="AE74" s="28">
        <f>IF(AE19&gt;0, (AE$30*VALORI!$B$4)+(AE$31*VALORI!$B$4)+(AE$32*VALORI!$B$3)+(AE$33*VALORI!$B$5),0)</f>
        <v>0</v>
      </c>
      <c r="AF74" s="28">
        <f>IF(AF19&gt;0, (AF$30*VALORI!$B$4)+(AF$31*VALORI!$B$4)+(AF$32*VALORI!$B$3)+(AF$33*VALORI!$B$5),0)</f>
        <v>0</v>
      </c>
      <c r="AG74" s="28">
        <f>IF(AG19&gt;0, (AG$30*VALORI!$B$4)+(AG$31*VALORI!$B$4)+(AG$32*VALORI!$B$3)+(AG$33*VALORI!$B$5),0)</f>
        <v>0</v>
      </c>
      <c r="AH74" s="28">
        <f>IF(AH19&gt;0, (AH$30*VALORI!$B$4)+(AH$31*VALORI!$B$4)+(AH$32*VALORI!$B$3)+(AH$33*VALORI!$B$5),0)</f>
        <v>0</v>
      </c>
      <c r="AI74" s="28">
        <f>IF(AI19&gt;0, (AI$30*VALORI!$B$4)+(AI$31*VALORI!$B$4)+(AI$32*VALORI!$B$3)+(AI$33*VALORI!$B$5),0)</f>
        <v>0</v>
      </c>
      <c r="AJ74" s="28">
        <f>IF(AJ19&gt;0, (AJ$30*VALORI!$B$4)+(AJ$31*VALORI!$B$4)+(AJ$32*VALORI!$B$3)+(AJ$33*VALORI!$B$5),0)</f>
        <v>0</v>
      </c>
      <c r="AK74" s="28">
        <f>IF(AK19&gt;0, (AK$30*VALORI!$B$4)+(AK$31*VALORI!$B$4)+(AK$32*VALORI!$B$3)+(AK$33*VALORI!$B$5),0)</f>
        <v>0</v>
      </c>
      <c r="AL74" s="28">
        <f>IF(AL19&gt;0, (AL$30*VALORI!$B$4)+(AL$31*VALORI!$B$4)+(AL$32*VALORI!$B$3)+(AL$33*VALORI!$B$5),0)</f>
        <v>0</v>
      </c>
      <c r="AM74" s="28">
        <f>IF(AM19&gt;0, (AM$30*VALORI!$B$4)+(AM$31*VALORI!$B$4)+(AM$32*VALORI!$B$3)+(AM$33*VALORI!$B$5),0)</f>
        <v>0</v>
      </c>
      <c r="AN74" s="28">
        <f>IF(AN19&gt;0, (AN$30*VALORI!$B$4)+(AN$31*VALORI!$B$4)+(AN$32*VALORI!$B$3)+(AN$33*VALORI!$B$5),0)</f>
        <v>0</v>
      </c>
      <c r="AO74" s="28">
        <f>IF(AO19&gt;0, (AO$30*VALORI!$B$4)+(AO$31*VALORI!$B$4)+(AO$32*VALORI!$B$3)+(AO$33*VALORI!$B$5),0)</f>
        <v>0</v>
      </c>
    </row>
  </sheetData>
  <sheetProtection algorithmName="SHA-512" hashValue="vNVkD3eOwcuB3YAx033n90zJFi/33FHnjzRWkKSAfx4ymlLC6alP5kI+9+IVBrGUU4B7l4vaWFKVn0pdjFvKSQ==" saltValue="tFMyDP/F4sp69igYmxpHsg==" spinCount="100000" sheet="1" autoFilter="0"/>
  <mergeCells count="2">
    <mergeCell ref="A1:U1"/>
    <mergeCell ref="O30:P33"/>
  </mergeCells>
  <pageMargins left="0.23622047244094491" right="0.23622047244094491" top="0.74803149606299213" bottom="0.74803149606299213" header="0.31496062992125984" footer="0.31496062992125984"/>
  <pageSetup paperSize="9" scale="60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74"/>
  <sheetViews>
    <sheetView zoomScale="70" zoomScaleNormal="70" workbookViewId="0">
      <selection activeCell="AG32" sqref="AG32"/>
    </sheetView>
  </sheetViews>
  <sheetFormatPr defaultColWidth="9.28515625" defaultRowHeight="15" x14ac:dyDescent="0.25"/>
  <cols>
    <col min="1" max="1" width="16.7109375" style="2" customWidth="1"/>
    <col min="2" max="2" width="23.28515625" style="2" customWidth="1"/>
    <col min="3" max="3" width="20.28515625" style="2" customWidth="1"/>
    <col min="4" max="4" width="20.5703125" style="2" customWidth="1"/>
    <col min="5" max="5" width="18" style="2" customWidth="1"/>
    <col min="6" max="6" width="24.42578125" style="2" bestFit="1" customWidth="1"/>
    <col min="7" max="7" width="18.42578125" style="2" customWidth="1"/>
    <col min="8" max="8" width="13.140625" style="2" customWidth="1"/>
    <col min="9" max="9" width="5.7109375" style="2" customWidth="1"/>
    <col min="10" max="14" width="5.7109375" customWidth="1"/>
    <col min="15" max="16" width="14.42578125" bestFit="1" customWidth="1"/>
    <col min="17" max="18" width="13" bestFit="1" customWidth="1"/>
    <col min="19" max="19" width="24.7109375" customWidth="1"/>
    <col min="20" max="21" width="13.140625" bestFit="1" customWidth="1"/>
    <col min="22" max="22" width="9.140625"/>
    <col min="23" max="24" width="12.140625" customWidth="1"/>
    <col min="25" max="26" width="12.140625" bestFit="1" customWidth="1"/>
    <col min="27" max="27" width="12.140625" customWidth="1"/>
    <col min="28" max="28" width="11.5703125" customWidth="1"/>
    <col min="29" max="33" width="12.140625" bestFit="1" customWidth="1"/>
    <col min="34" max="34" width="12.140625" customWidth="1"/>
    <col min="35" max="35" width="12.42578125" customWidth="1"/>
    <col min="36" max="38" width="12.140625" customWidth="1"/>
    <col min="39" max="39" width="11.5703125" customWidth="1"/>
    <col min="40" max="40" width="1.5703125" customWidth="1"/>
    <col min="41" max="44" width="11.5703125" customWidth="1"/>
    <col min="45" max="45" width="1.5703125" customWidth="1"/>
    <col min="46" max="47" width="12.28515625" bestFit="1" customWidth="1"/>
  </cols>
  <sheetData>
    <row r="1" spans="1:47" ht="21.75" thickBot="1" x14ac:dyDescent="0.35">
      <c r="A1" s="215" t="s">
        <v>156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7"/>
      <c r="W1" s="51" t="s">
        <v>13</v>
      </c>
      <c r="X1" s="51" t="s">
        <v>13</v>
      </c>
      <c r="Y1" s="38" t="s">
        <v>13</v>
      </c>
      <c r="Z1" s="38" t="s">
        <v>13</v>
      </c>
      <c r="AA1" s="50" t="s">
        <v>13</v>
      </c>
      <c r="AB1" s="50"/>
      <c r="AC1" s="45" t="s">
        <v>13</v>
      </c>
      <c r="AD1" s="44" t="s">
        <v>13</v>
      </c>
      <c r="AE1" s="44" t="s">
        <v>13</v>
      </c>
      <c r="AF1" s="44" t="s">
        <v>13</v>
      </c>
      <c r="AG1" s="44" t="s">
        <v>13</v>
      </c>
      <c r="AH1" s="45" t="s">
        <v>13</v>
      </c>
      <c r="AI1" s="45" t="s">
        <v>13</v>
      </c>
      <c r="AJ1" s="46" t="s">
        <v>13</v>
      </c>
      <c r="AK1" s="46" t="s">
        <v>13</v>
      </c>
      <c r="AL1" s="46" t="s">
        <v>13</v>
      </c>
      <c r="AM1" s="37" t="s">
        <v>13</v>
      </c>
      <c r="AN1" s="47"/>
      <c r="AO1" s="42" t="s">
        <v>13</v>
      </c>
      <c r="AP1" s="42" t="s">
        <v>13</v>
      </c>
      <c r="AQ1" s="42" t="s">
        <v>13</v>
      </c>
      <c r="AR1" s="42" t="s">
        <v>13</v>
      </c>
      <c r="AS1" s="47"/>
      <c r="AT1" s="43" t="s">
        <v>13</v>
      </c>
      <c r="AU1" s="43" t="s">
        <v>13</v>
      </c>
    </row>
    <row r="2" spans="1:47" ht="200.25" customHeight="1" x14ac:dyDescent="0.25">
      <c r="A2" s="6" t="s">
        <v>14</v>
      </c>
      <c r="B2" s="6" t="s">
        <v>15</v>
      </c>
      <c r="C2" s="6" t="s">
        <v>157</v>
      </c>
      <c r="D2" s="6"/>
      <c r="E2" s="6"/>
      <c r="F2" s="6" t="s">
        <v>19</v>
      </c>
      <c r="G2" s="6"/>
      <c r="H2" s="6"/>
      <c r="I2" s="14" t="s">
        <v>21</v>
      </c>
      <c r="J2" s="14" t="s">
        <v>22</v>
      </c>
      <c r="K2" s="14" t="s">
        <v>23</v>
      </c>
      <c r="L2" s="14" t="s">
        <v>24</v>
      </c>
      <c r="M2" s="14" t="s">
        <v>25</v>
      </c>
      <c r="N2" s="14" t="s">
        <v>26</v>
      </c>
      <c r="O2" s="18" t="s">
        <v>27</v>
      </c>
      <c r="P2" s="15" t="s">
        <v>28</v>
      </c>
      <c r="Q2" s="20" t="s">
        <v>29</v>
      </c>
      <c r="R2" s="22" t="s">
        <v>30</v>
      </c>
      <c r="S2" s="21" t="s">
        <v>301</v>
      </c>
      <c r="T2" s="31" t="s">
        <v>158</v>
      </c>
      <c r="U2" s="31" t="s">
        <v>159</v>
      </c>
      <c r="W2" s="36" t="s">
        <v>33</v>
      </c>
      <c r="X2" s="36" t="s">
        <v>34</v>
      </c>
      <c r="Y2" s="36" t="s">
        <v>35</v>
      </c>
      <c r="Z2" s="36" t="s">
        <v>36</v>
      </c>
      <c r="AA2" s="36" t="s">
        <v>37</v>
      </c>
      <c r="AB2" s="36" t="s">
        <v>318</v>
      </c>
      <c r="AC2" s="36" t="s">
        <v>38</v>
      </c>
      <c r="AD2" s="36" t="s">
        <v>39</v>
      </c>
      <c r="AE2" s="36" t="s">
        <v>40</v>
      </c>
      <c r="AF2" s="36" t="s">
        <v>41</v>
      </c>
      <c r="AG2" s="36" t="s">
        <v>42</v>
      </c>
      <c r="AH2" s="36" t="s">
        <v>43</v>
      </c>
      <c r="AI2" s="36" t="s">
        <v>326</v>
      </c>
      <c r="AJ2" s="36" t="s">
        <v>361</v>
      </c>
      <c r="AK2" s="36"/>
      <c r="AL2" s="36"/>
      <c r="AM2" s="36" t="s">
        <v>47</v>
      </c>
      <c r="AN2" s="48"/>
      <c r="AO2" s="36" t="s">
        <v>48</v>
      </c>
      <c r="AP2" s="36" t="s">
        <v>49</v>
      </c>
      <c r="AQ2" s="36" t="s">
        <v>50</v>
      </c>
      <c r="AR2" s="36" t="s">
        <v>51</v>
      </c>
      <c r="AS2" s="48"/>
      <c r="AT2" s="36" t="s">
        <v>52</v>
      </c>
      <c r="AU2" s="36" t="s">
        <v>53</v>
      </c>
    </row>
    <row r="3" spans="1:47" ht="20.25" customHeight="1" x14ac:dyDescent="0.35">
      <c r="A3" s="11">
        <v>500</v>
      </c>
      <c r="B3" s="10" t="s">
        <v>54</v>
      </c>
      <c r="C3" s="10" t="s">
        <v>54</v>
      </c>
      <c r="D3" s="10" t="s">
        <v>54</v>
      </c>
      <c r="E3" s="10"/>
      <c r="F3" s="10" t="s">
        <v>54</v>
      </c>
      <c r="G3" s="10" t="s">
        <v>54</v>
      </c>
      <c r="H3" s="10"/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9">
        <f>(VALORI!B$3 * 'PASTA LUNGA - GPL180'!I3) + (VALORI!B$4 * 'PASTA LUNGA - GPL180'!J3) + (VALORI!B$4 * 'PASTA LUNGA - GPL180'!K3) + (VALORI!B$5 * 'PASTA LUNGA - GPL180'!L3) + (VALORI!B$6 * 'PASTA LUNGA - GPL180'!M3) + (VALORI!B$7 * 'PASTA LUNGA - GPL180'!N3)</f>
        <v>0</v>
      </c>
      <c r="P3" s="13">
        <f>(O3*25%)+O3</f>
        <v>0</v>
      </c>
      <c r="Q3" s="25">
        <v>0</v>
      </c>
      <c r="R3" s="26">
        <f>(Q3*20%)+Q3</f>
        <v>0</v>
      </c>
      <c r="S3" s="27"/>
      <c r="T3" s="28">
        <f t="shared" ref="T3:T14" si="0">O3+Q3</f>
        <v>0</v>
      </c>
      <c r="U3" s="28">
        <f t="shared" ref="U3:U14" si="1">P3+R3</f>
        <v>0</v>
      </c>
      <c r="V3" s="35" t="s">
        <v>55</v>
      </c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49"/>
      <c r="AO3" s="28"/>
      <c r="AP3" s="28"/>
      <c r="AQ3" s="28"/>
      <c r="AR3" s="28"/>
      <c r="AS3" s="49"/>
      <c r="AT3" s="28"/>
      <c r="AU3" s="28"/>
    </row>
    <row r="4" spans="1:47" ht="20.25" customHeight="1" x14ac:dyDescent="0.35">
      <c r="A4" s="11">
        <v>750</v>
      </c>
      <c r="B4" s="10" t="s">
        <v>54</v>
      </c>
      <c r="C4" s="10" t="s">
        <v>54</v>
      </c>
      <c r="D4" s="10" t="s">
        <v>54</v>
      </c>
      <c r="E4" s="10" t="s">
        <v>54</v>
      </c>
      <c r="F4" s="10" t="s">
        <v>54</v>
      </c>
      <c r="G4" s="10" t="s">
        <v>54</v>
      </c>
      <c r="H4" s="10"/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9">
        <f>(VALORI!B$3 * 'PASTA LUNGA - GPL180'!I4) + (VALORI!B$4 * 'PASTA LUNGA - GPL180'!J4) + (VALORI!B$4 * 'PASTA LUNGA - GPL180'!K4) + (VALORI!B$5 * 'PASTA LUNGA - GPL180'!L4) + (VALORI!B$6 * 'PASTA LUNGA - GPL180'!M4) + (VALORI!B$7 * 'PASTA LUNGA - GPL180'!N4)</f>
        <v>0</v>
      </c>
      <c r="P4" s="13">
        <f>(O4*25%)+O4</f>
        <v>0</v>
      </c>
      <c r="Q4" s="25">
        <v>0</v>
      </c>
      <c r="R4" s="26">
        <f t="shared" ref="R4:R14" si="2">(Q4*20%)+Q4</f>
        <v>0</v>
      </c>
      <c r="S4" s="27"/>
      <c r="T4" s="28">
        <f t="shared" si="0"/>
        <v>0</v>
      </c>
      <c r="U4" s="28">
        <f t="shared" si="1"/>
        <v>0</v>
      </c>
      <c r="V4" s="35" t="s">
        <v>55</v>
      </c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49"/>
      <c r="AO4" s="28"/>
      <c r="AP4" s="28"/>
      <c r="AQ4" s="28"/>
      <c r="AR4" s="28"/>
      <c r="AS4" s="49"/>
      <c r="AT4" s="28"/>
      <c r="AU4" s="28"/>
    </row>
    <row r="5" spans="1:47" ht="20.25" customHeight="1" x14ac:dyDescent="0.35">
      <c r="A5" s="11">
        <v>1000</v>
      </c>
      <c r="B5" s="10" t="s">
        <v>54</v>
      </c>
      <c r="C5" s="10" t="s">
        <v>54</v>
      </c>
      <c r="D5" s="10" t="s">
        <v>54</v>
      </c>
      <c r="E5" s="10" t="s">
        <v>54</v>
      </c>
      <c r="F5" s="10" t="s">
        <v>54</v>
      </c>
      <c r="G5" s="10" t="s">
        <v>54</v>
      </c>
      <c r="H5" s="10"/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9">
        <f>(VALORI!B$3 * 'PASTA LUNGA - GPL180'!I5) + (VALORI!B$4 * 'PASTA LUNGA - GPL180'!J5) + (VALORI!B$4 * 'PASTA LUNGA - GPL180'!K5) + (VALORI!B$5 * 'PASTA LUNGA - GPL180'!L5) + (VALORI!B$6 * 'PASTA LUNGA - GPL180'!M5) + (VALORI!B$7 * 'PASTA LUNGA - GPL180'!N5)</f>
        <v>0</v>
      </c>
      <c r="P5" s="13">
        <f t="shared" ref="P5:P14" si="3">(O5*25%)+O5</f>
        <v>0</v>
      </c>
      <c r="Q5" s="25">
        <v>0</v>
      </c>
      <c r="R5" s="26">
        <f t="shared" si="2"/>
        <v>0</v>
      </c>
      <c r="S5" s="27"/>
      <c r="T5" s="28">
        <f t="shared" si="0"/>
        <v>0</v>
      </c>
      <c r="U5" s="28">
        <f t="shared" si="1"/>
        <v>0</v>
      </c>
      <c r="V5" s="35" t="s">
        <v>55</v>
      </c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49"/>
      <c r="AO5" s="28"/>
      <c r="AP5" s="28"/>
      <c r="AQ5" s="28"/>
      <c r="AR5" s="28"/>
      <c r="AS5" s="49"/>
      <c r="AT5" s="28"/>
      <c r="AU5" s="28"/>
    </row>
    <row r="6" spans="1:47" ht="20.25" customHeight="1" x14ac:dyDescent="0.35">
      <c r="A6" s="11">
        <v>1600</v>
      </c>
      <c r="B6" s="10" t="s">
        <v>54</v>
      </c>
      <c r="C6" s="10" t="s">
        <v>54</v>
      </c>
      <c r="D6" s="10" t="s">
        <v>54</v>
      </c>
      <c r="E6" s="10" t="s">
        <v>54</v>
      </c>
      <c r="F6" s="10" t="s">
        <v>54</v>
      </c>
      <c r="G6" s="10" t="s">
        <v>54</v>
      </c>
      <c r="H6" s="10"/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9">
        <f>(VALORI!B$3 * 'PASTA LUNGA - GPL180'!I6) + (VALORI!B$4 * 'PASTA LUNGA - GPL180'!J6) + (VALORI!B$4 * 'PASTA LUNGA - GPL180'!K6) + (VALORI!B$5 * 'PASTA LUNGA - GPL180'!L6) + (VALORI!B$6 * 'PASTA LUNGA - GPL180'!M6) + (VALORI!B$7 * 'PASTA LUNGA - GPL180'!N6)</f>
        <v>0</v>
      </c>
      <c r="P6" s="13">
        <f t="shared" si="3"/>
        <v>0</v>
      </c>
      <c r="Q6" s="25">
        <v>0</v>
      </c>
      <c r="R6" s="26">
        <f t="shared" si="2"/>
        <v>0</v>
      </c>
      <c r="S6" s="27"/>
      <c r="T6" s="28">
        <f t="shared" si="0"/>
        <v>0</v>
      </c>
      <c r="U6" s="28">
        <f t="shared" si="1"/>
        <v>0</v>
      </c>
      <c r="V6" s="35" t="s">
        <v>55</v>
      </c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49"/>
      <c r="AO6" s="28"/>
      <c r="AP6" s="28"/>
      <c r="AQ6" s="28"/>
      <c r="AR6" s="28"/>
      <c r="AS6" s="49"/>
      <c r="AT6" s="28"/>
      <c r="AU6" s="28"/>
    </row>
    <row r="7" spans="1:47" ht="20.25" customHeight="1" x14ac:dyDescent="0.35">
      <c r="A7" s="11">
        <v>2200</v>
      </c>
      <c r="B7" s="10" t="s">
        <v>54</v>
      </c>
      <c r="C7" s="10" t="s">
        <v>54</v>
      </c>
      <c r="D7" s="10" t="s">
        <v>54</v>
      </c>
      <c r="E7" s="10" t="s">
        <v>54</v>
      </c>
      <c r="F7" s="10" t="s">
        <v>54</v>
      </c>
      <c r="G7" s="10" t="s">
        <v>54</v>
      </c>
      <c r="H7" s="10"/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9">
        <f>(VALORI!B$3 * 'PASTA LUNGA - GPL180'!I7) + (VALORI!B$4 * 'PASTA LUNGA - GPL180'!J7) + (VALORI!B$4 * 'PASTA LUNGA - GPL180'!K7) + (VALORI!B$5 * 'PASTA LUNGA - GPL180'!L7) + (VALORI!B$6 * 'PASTA LUNGA - GPL180'!M7) + (VALORI!B$7 * 'PASTA LUNGA - GPL180'!N7)</f>
        <v>0</v>
      </c>
      <c r="P7" s="13">
        <f t="shared" si="3"/>
        <v>0</v>
      </c>
      <c r="Q7" s="25">
        <v>0</v>
      </c>
      <c r="R7" s="26">
        <f t="shared" si="2"/>
        <v>0</v>
      </c>
      <c r="S7" s="27"/>
      <c r="T7" s="28">
        <f t="shared" si="0"/>
        <v>0</v>
      </c>
      <c r="U7" s="28">
        <f t="shared" si="1"/>
        <v>0</v>
      </c>
      <c r="V7" s="35" t="s">
        <v>55</v>
      </c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49"/>
      <c r="AO7" s="28"/>
      <c r="AP7" s="28"/>
      <c r="AQ7" s="28"/>
      <c r="AR7" s="28"/>
      <c r="AS7" s="49"/>
      <c r="AT7" s="28"/>
      <c r="AU7" s="28"/>
    </row>
    <row r="8" spans="1:47" ht="20.25" customHeight="1" x14ac:dyDescent="0.35">
      <c r="A8" s="11">
        <v>3000</v>
      </c>
      <c r="B8" s="10" t="s">
        <v>160</v>
      </c>
      <c r="C8" s="10" t="s">
        <v>161</v>
      </c>
      <c r="D8" s="10" t="s">
        <v>54</v>
      </c>
      <c r="E8" s="10" t="s">
        <v>54</v>
      </c>
      <c r="F8" s="10" t="s">
        <v>162</v>
      </c>
      <c r="G8" s="10" t="s">
        <v>54</v>
      </c>
      <c r="H8" s="10"/>
      <c r="I8" s="3">
        <v>100</v>
      </c>
      <c r="J8" s="3">
        <v>50</v>
      </c>
      <c r="K8" s="3">
        <v>50</v>
      </c>
      <c r="L8" s="3">
        <v>550</v>
      </c>
      <c r="M8" s="3">
        <v>50</v>
      </c>
      <c r="N8" s="3">
        <v>90</v>
      </c>
      <c r="O8" s="9">
        <f>(VALORI!B$3 * 'PASTA LUNGA - GPL180'!I8) + (VALORI!B$4 * 'PASTA LUNGA - GPL180'!J8) + (VALORI!B$4 * 'PASTA LUNGA - GPL180'!K8) + (VALORI!B$5 * 'PASTA LUNGA - GPL180'!L8) + (VALORI!B$6 * 'PASTA LUNGA - GPL180'!M8) + (VALORI!B$7 * 'PASTA LUNGA - GPL180'!N8)</f>
        <v>28320</v>
      </c>
      <c r="P8" s="13">
        <f t="shared" si="3"/>
        <v>35400</v>
      </c>
      <c r="Q8" s="25">
        <v>98978.880000000005</v>
      </c>
      <c r="R8" s="26">
        <f t="shared" si="2"/>
        <v>118774.656</v>
      </c>
      <c r="S8" s="27" t="s">
        <v>91</v>
      </c>
      <c r="T8" s="28">
        <f t="shared" si="0"/>
        <v>127298.88</v>
      </c>
      <c r="U8" s="28">
        <f t="shared" si="1"/>
        <v>154174.65600000002</v>
      </c>
      <c r="V8" s="35" t="s">
        <v>55</v>
      </c>
      <c r="W8" s="28">
        <f t="shared" ref="W8:W14" si="4">(Q8*6%)</f>
        <v>5938.7327999999998</v>
      </c>
      <c r="X8" s="28">
        <f t="shared" ref="X8:X14" si="5">(Q8*20%)</f>
        <v>19795.776000000002</v>
      </c>
      <c r="Y8" s="28">
        <v>10000</v>
      </c>
      <c r="Z8" s="28">
        <f t="shared" ref="Z8:Z14" si="6">(Y8*65%)+Y8</f>
        <v>16500</v>
      </c>
      <c r="AA8" s="28">
        <v>3800</v>
      </c>
      <c r="AB8" s="28">
        <v>5500</v>
      </c>
      <c r="AC8" s="28">
        <v>1300</v>
      </c>
      <c r="AD8" s="28">
        <v>8000</v>
      </c>
      <c r="AE8" s="28">
        <v>2200</v>
      </c>
      <c r="AF8" s="28">
        <v>2800</v>
      </c>
      <c r="AG8" s="28">
        <v>1100</v>
      </c>
      <c r="AH8" s="28">
        <v>4000</v>
      </c>
      <c r="AI8" s="28">
        <v>4200</v>
      </c>
      <c r="AJ8" s="28">
        <v>4200</v>
      </c>
      <c r="AK8" s="28"/>
      <c r="AL8" s="28"/>
      <c r="AM8" s="28">
        <v>8000</v>
      </c>
      <c r="AN8" s="49"/>
      <c r="AO8" s="28">
        <v>800</v>
      </c>
      <c r="AP8" s="28">
        <v>8000</v>
      </c>
      <c r="AQ8" s="28">
        <v>1100</v>
      </c>
      <c r="AR8" s="28">
        <v>2880</v>
      </c>
      <c r="AS8" s="49"/>
      <c r="AT8" s="28">
        <v>36650</v>
      </c>
      <c r="AU8" s="28">
        <v>29290</v>
      </c>
    </row>
    <row r="9" spans="1:47" ht="20.25" customHeight="1" x14ac:dyDescent="0.35">
      <c r="A9" s="11">
        <v>3500</v>
      </c>
      <c r="B9" s="10" t="s">
        <v>163</v>
      </c>
      <c r="C9" s="10" t="s">
        <v>164</v>
      </c>
      <c r="D9" s="10" t="s">
        <v>54</v>
      </c>
      <c r="E9" s="10" t="s">
        <v>54</v>
      </c>
      <c r="F9" s="10" t="s">
        <v>165</v>
      </c>
      <c r="G9" s="10" t="s">
        <v>54</v>
      </c>
      <c r="H9" s="10"/>
      <c r="I9" s="3">
        <v>100</v>
      </c>
      <c r="J9" s="3">
        <v>50</v>
      </c>
      <c r="K9" s="3">
        <v>50</v>
      </c>
      <c r="L9" s="3">
        <v>550</v>
      </c>
      <c r="M9" s="3">
        <v>50</v>
      </c>
      <c r="N9" s="3">
        <v>100</v>
      </c>
      <c r="O9" s="9">
        <f>(VALORI!B$3 * 'PASTA LUNGA - GPL180'!I9) + (VALORI!B$4 * 'PASTA LUNGA - GPL180'!J9) + (VALORI!B$4 * 'PASTA LUNGA - GPL180'!K9) + (VALORI!B$5 * 'PASTA LUNGA - GPL180'!L9) + (VALORI!B$6 * 'PASTA LUNGA - GPL180'!M9) + (VALORI!B$7 * 'PASTA LUNGA - GPL180'!N9)</f>
        <v>28700</v>
      </c>
      <c r="P9" s="13">
        <f t="shared" si="3"/>
        <v>35875</v>
      </c>
      <c r="Q9" s="25">
        <v>101453.352</v>
      </c>
      <c r="R9" s="26">
        <f t="shared" si="2"/>
        <v>121744.0224</v>
      </c>
      <c r="S9" s="27" t="s">
        <v>95</v>
      </c>
      <c r="T9" s="28">
        <f t="shared" si="0"/>
        <v>130153.352</v>
      </c>
      <c r="U9" s="28">
        <f t="shared" si="1"/>
        <v>157619.02240000002</v>
      </c>
      <c r="V9" s="35" t="s">
        <v>55</v>
      </c>
      <c r="W9" s="28">
        <f t="shared" si="4"/>
        <v>6087.2011199999997</v>
      </c>
      <c r="X9" s="28">
        <f t="shared" si="5"/>
        <v>20290.670400000003</v>
      </c>
      <c r="Y9" s="28">
        <v>12000</v>
      </c>
      <c r="Z9" s="28">
        <f t="shared" si="6"/>
        <v>19800</v>
      </c>
      <c r="AA9" s="28">
        <v>3800</v>
      </c>
      <c r="AB9" s="28">
        <v>5500</v>
      </c>
      <c r="AC9" s="28">
        <v>1300</v>
      </c>
      <c r="AD9" s="28">
        <v>8000</v>
      </c>
      <c r="AE9" s="28">
        <v>2200</v>
      </c>
      <c r="AF9" s="28">
        <v>2800</v>
      </c>
      <c r="AG9" s="28">
        <v>1100</v>
      </c>
      <c r="AH9" s="28">
        <v>4000</v>
      </c>
      <c r="AI9" s="28">
        <v>4200</v>
      </c>
      <c r="AJ9" s="28">
        <v>4200</v>
      </c>
      <c r="AK9" s="28"/>
      <c r="AL9" s="28"/>
      <c r="AM9" s="28">
        <v>8000</v>
      </c>
      <c r="AN9" s="49"/>
      <c r="AO9" s="28">
        <v>800</v>
      </c>
      <c r="AP9" s="28">
        <v>8000</v>
      </c>
      <c r="AQ9" s="28">
        <v>1100</v>
      </c>
      <c r="AR9" s="28">
        <v>2880</v>
      </c>
      <c r="AS9" s="49"/>
      <c r="AT9" s="28">
        <v>36650</v>
      </c>
      <c r="AU9" s="28">
        <v>29290</v>
      </c>
    </row>
    <row r="10" spans="1:47" ht="20.25" customHeight="1" x14ac:dyDescent="0.35">
      <c r="A10" s="11">
        <v>4000</v>
      </c>
      <c r="B10" s="10" t="s">
        <v>166</v>
      </c>
      <c r="C10" s="10" t="s">
        <v>164</v>
      </c>
      <c r="D10" s="10" t="s">
        <v>54</v>
      </c>
      <c r="E10" s="10" t="s">
        <v>54</v>
      </c>
      <c r="F10" s="10" t="s">
        <v>167</v>
      </c>
      <c r="G10" s="10" t="s">
        <v>54</v>
      </c>
      <c r="H10" s="10"/>
      <c r="I10" s="3">
        <v>110</v>
      </c>
      <c r="J10" s="3">
        <v>50</v>
      </c>
      <c r="K10" s="3">
        <v>50</v>
      </c>
      <c r="L10" s="3">
        <v>570</v>
      </c>
      <c r="M10" s="3">
        <v>60</v>
      </c>
      <c r="N10" s="3">
        <v>100</v>
      </c>
      <c r="O10" s="9">
        <f>(VALORI!B$3 * 'PASTA LUNGA - GPL180'!I10) + (VALORI!B$4 * 'PASTA LUNGA - GPL180'!J10) + (VALORI!B$4 * 'PASTA LUNGA - GPL180'!K10) + (VALORI!B$5 * 'PASTA LUNGA - GPL180'!L10) + (VALORI!B$6 * 'PASTA LUNGA - GPL180'!M10) + (VALORI!B$7 * 'PASTA LUNGA - GPL180'!N10)</f>
        <v>29940</v>
      </c>
      <c r="P10" s="13">
        <f t="shared" si="3"/>
        <v>37425</v>
      </c>
      <c r="Q10" s="25">
        <v>105165.06</v>
      </c>
      <c r="R10" s="26">
        <f t="shared" si="2"/>
        <v>126198.072</v>
      </c>
      <c r="S10" s="27" t="s">
        <v>99</v>
      </c>
      <c r="T10" s="28">
        <f>O10+Q10</f>
        <v>135105.06</v>
      </c>
      <c r="U10" s="28">
        <f t="shared" si="1"/>
        <v>163623.07199999999</v>
      </c>
      <c r="V10" s="35" t="s">
        <v>55</v>
      </c>
      <c r="W10" s="28">
        <f t="shared" si="4"/>
        <v>6309.9035999999996</v>
      </c>
      <c r="X10" s="28">
        <f t="shared" si="5"/>
        <v>21033.012000000002</v>
      </c>
      <c r="Y10" s="28">
        <v>12000</v>
      </c>
      <c r="Z10" s="28">
        <f t="shared" si="6"/>
        <v>19800</v>
      </c>
      <c r="AA10" s="28">
        <v>3800</v>
      </c>
      <c r="AB10" s="28">
        <v>5500</v>
      </c>
      <c r="AC10" s="28">
        <v>1300</v>
      </c>
      <c r="AD10" s="28">
        <v>8000</v>
      </c>
      <c r="AE10" s="28">
        <v>2200</v>
      </c>
      <c r="AF10" s="28">
        <v>2800</v>
      </c>
      <c r="AG10" s="28">
        <v>1100</v>
      </c>
      <c r="AH10" s="28">
        <v>8000</v>
      </c>
      <c r="AI10" s="28">
        <v>4200</v>
      </c>
      <c r="AJ10" s="28">
        <v>4200</v>
      </c>
      <c r="AK10" s="28"/>
      <c r="AL10" s="28"/>
      <c r="AM10" s="28">
        <v>8000</v>
      </c>
      <c r="AN10" s="49"/>
      <c r="AO10" s="28">
        <v>800</v>
      </c>
      <c r="AP10" s="28">
        <v>8000</v>
      </c>
      <c r="AQ10" s="28">
        <v>1100</v>
      </c>
      <c r="AR10" s="28">
        <v>2880</v>
      </c>
      <c r="AS10" s="49"/>
      <c r="AT10" s="28">
        <v>36650</v>
      </c>
      <c r="AU10" s="28">
        <v>29290</v>
      </c>
    </row>
    <row r="11" spans="1:47" ht="20.25" customHeight="1" x14ac:dyDescent="0.35">
      <c r="A11" s="11">
        <v>4500</v>
      </c>
      <c r="B11" s="10" t="s">
        <v>168</v>
      </c>
      <c r="C11" s="10" t="s">
        <v>164</v>
      </c>
      <c r="D11" s="10" t="s">
        <v>54</v>
      </c>
      <c r="E11" s="10" t="s">
        <v>54</v>
      </c>
      <c r="F11" s="10" t="s">
        <v>169</v>
      </c>
      <c r="G11" s="10" t="s">
        <v>54</v>
      </c>
      <c r="H11" s="10"/>
      <c r="I11" s="3">
        <v>110</v>
      </c>
      <c r="J11" s="3">
        <v>50</v>
      </c>
      <c r="K11" s="3">
        <v>50</v>
      </c>
      <c r="L11" s="3">
        <v>580</v>
      </c>
      <c r="M11" s="3">
        <v>60</v>
      </c>
      <c r="N11" s="3">
        <v>100</v>
      </c>
      <c r="O11" s="9">
        <f>(VALORI!B$3 * 'PASTA LUNGA - GPL180'!I11) + (VALORI!B$4 * 'PASTA LUNGA - GPL180'!J11) + (VALORI!B$4 * 'PASTA LUNGA - GPL180'!K11) + (VALORI!B$5 * 'PASTA LUNGA - GPL180'!L11) + (VALORI!B$6 * 'PASTA LUNGA - GPL180'!M11) + (VALORI!B$7 * 'PASTA LUNGA - GPL180'!N11)</f>
        <v>30230</v>
      </c>
      <c r="P11" s="13">
        <f t="shared" si="3"/>
        <v>37787.5</v>
      </c>
      <c r="Q11" s="25">
        <v>107639.53199999999</v>
      </c>
      <c r="R11" s="26">
        <f t="shared" si="2"/>
        <v>129167.43839999998</v>
      </c>
      <c r="S11" s="27" t="s">
        <v>99</v>
      </c>
      <c r="T11" s="28">
        <f t="shared" si="0"/>
        <v>137869.53200000001</v>
      </c>
      <c r="U11" s="28">
        <f t="shared" si="1"/>
        <v>166954.93839999998</v>
      </c>
      <c r="V11" s="35" t="s">
        <v>55</v>
      </c>
      <c r="W11" s="28">
        <f t="shared" si="4"/>
        <v>6458.3719199999996</v>
      </c>
      <c r="X11" s="28">
        <f t="shared" si="5"/>
        <v>21527.9064</v>
      </c>
      <c r="Y11" s="28">
        <v>14000</v>
      </c>
      <c r="Z11" s="28">
        <f t="shared" si="6"/>
        <v>23100</v>
      </c>
      <c r="AA11" s="28">
        <v>3800</v>
      </c>
      <c r="AB11" s="28">
        <v>5500</v>
      </c>
      <c r="AC11" s="28">
        <v>1300</v>
      </c>
      <c r="AD11" s="28">
        <v>8000</v>
      </c>
      <c r="AE11" s="28">
        <v>2200</v>
      </c>
      <c r="AF11" s="28">
        <v>2800</v>
      </c>
      <c r="AG11" s="28">
        <v>1100</v>
      </c>
      <c r="AH11" s="28">
        <v>8000</v>
      </c>
      <c r="AI11" s="28">
        <v>4200</v>
      </c>
      <c r="AJ11" s="28">
        <v>4200</v>
      </c>
      <c r="AK11" s="28"/>
      <c r="AL11" s="28"/>
      <c r="AM11" s="28">
        <v>8000</v>
      </c>
      <c r="AN11" s="49"/>
      <c r="AO11" s="28">
        <v>800</v>
      </c>
      <c r="AP11" s="28">
        <v>8000</v>
      </c>
      <c r="AQ11" s="28">
        <v>1100</v>
      </c>
      <c r="AR11" s="28">
        <v>2880</v>
      </c>
      <c r="AS11" s="49"/>
      <c r="AT11" s="28">
        <v>36650</v>
      </c>
      <c r="AU11" s="28">
        <v>29290</v>
      </c>
    </row>
    <row r="12" spans="1:47" ht="20.25" customHeight="1" x14ac:dyDescent="0.35">
      <c r="A12" s="11">
        <v>5000</v>
      </c>
      <c r="B12" s="10" t="s">
        <v>170</v>
      </c>
      <c r="C12" s="10" t="s">
        <v>171</v>
      </c>
      <c r="D12" s="10" t="s">
        <v>54</v>
      </c>
      <c r="E12" s="10" t="s">
        <v>54</v>
      </c>
      <c r="F12" s="10" t="s">
        <v>172</v>
      </c>
      <c r="G12" s="10" t="s">
        <v>54</v>
      </c>
      <c r="H12" s="10"/>
      <c r="I12" s="3">
        <v>110</v>
      </c>
      <c r="J12" s="3">
        <v>60</v>
      </c>
      <c r="K12" s="3">
        <v>60</v>
      </c>
      <c r="L12" s="3">
        <v>650</v>
      </c>
      <c r="M12" s="3">
        <v>65</v>
      </c>
      <c r="N12" s="3">
        <v>100</v>
      </c>
      <c r="O12" s="9">
        <f>(VALORI!B$3 * 'PASTA LUNGA - GPL180'!I12) + (VALORI!B$4 * 'PASTA LUNGA - GPL180'!J12) + (VALORI!B$4 * 'PASTA LUNGA - GPL180'!K12) + (VALORI!B$5 * 'PASTA LUNGA - GPL180'!L12) + (VALORI!B$6 * 'PASTA LUNGA - GPL180'!M12) + (VALORI!B$7 * 'PASTA LUNGA - GPL180'!N12)</f>
        <v>33165</v>
      </c>
      <c r="P12" s="13">
        <f t="shared" si="3"/>
        <v>41456.25</v>
      </c>
      <c r="Q12" s="25">
        <v>117537.42</v>
      </c>
      <c r="R12" s="26">
        <f t="shared" si="2"/>
        <v>141044.90400000001</v>
      </c>
      <c r="S12" s="39" t="s">
        <v>173</v>
      </c>
      <c r="T12" s="28">
        <f t="shared" si="0"/>
        <v>150702.41999999998</v>
      </c>
      <c r="U12" s="28">
        <f t="shared" si="1"/>
        <v>182501.15400000001</v>
      </c>
      <c r="V12" s="35" t="s">
        <v>55</v>
      </c>
      <c r="W12" s="28">
        <f t="shared" si="4"/>
        <v>7052.2451999999994</v>
      </c>
      <c r="X12" s="28">
        <f t="shared" si="5"/>
        <v>23507.484</v>
      </c>
      <c r="Y12" s="28">
        <v>15000</v>
      </c>
      <c r="Z12" s="28">
        <f t="shared" si="6"/>
        <v>24750</v>
      </c>
      <c r="AA12" s="28">
        <v>3800</v>
      </c>
      <c r="AB12" s="28">
        <v>5500</v>
      </c>
      <c r="AC12" s="28">
        <v>1300</v>
      </c>
      <c r="AD12" s="28">
        <v>8000</v>
      </c>
      <c r="AE12" s="28">
        <v>2200</v>
      </c>
      <c r="AF12" s="28">
        <v>2800</v>
      </c>
      <c r="AG12" s="28">
        <v>1100</v>
      </c>
      <c r="AH12" s="28">
        <v>10000</v>
      </c>
      <c r="AI12" s="28">
        <v>8400</v>
      </c>
      <c r="AJ12" s="28">
        <v>4200</v>
      </c>
      <c r="AK12" s="28"/>
      <c r="AL12" s="28"/>
      <c r="AM12" s="28">
        <v>8000</v>
      </c>
      <c r="AN12" s="49"/>
      <c r="AO12" s="28">
        <v>1600</v>
      </c>
      <c r="AP12" s="28">
        <v>8000</v>
      </c>
      <c r="AQ12" s="28">
        <v>1100</v>
      </c>
      <c r="AR12" s="28">
        <v>2880</v>
      </c>
      <c r="AS12" s="49"/>
      <c r="AT12" s="28">
        <v>36650</v>
      </c>
      <c r="AU12" s="28">
        <v>29290</v>
      </c>
    </row>
    <row r="13" spans="1:47" ht="20.25" customHeight="1" x14ac:dyDescent="0.35">
      <c r="A13" s="11">
        <v>5500</v>
      </c>
      <c r="B13" s="10" t="s">
        <v>170</v>
      </c>
      <c r="C13" s="10" t="s">
        <v>171</v>
      </c>
      <c r="D13" s="10" t="s">
        <v>54</v>
      </c>
      <c r="E13" s="10" t="s">
        <v>54</v>
      </c>
      <c r="F13" s="10" t="s">
        <v>174</v>
      </c>
      <c r="G13" s="10" t="s">
        <v>54</v>
      </c>
      <c r="H13" s="10"/>
      <c r="I13" s="3">
        <v>120</v>
      </c>
      <c r="J13" s="3">
        <v>70</v>
      </c>
      <c r="K13" s="3">
        <v>70</v>
      </c>
      <c r="L13" s="3">
        <v>710</v>
      </c>
      <c r="M13" s="3">
        <v>80</v>
      </c>
      <c r="N13" s="3">
        <v>120</v>
      </c>
      <c r="O13" s="9">
        <f>(VALORI!B$3 * 'PASTA LUNGA - GPL180'!I13) + (VALORI!B$4 * 'PASTA LUNGA - GPL180'!J13) + (VALORI!B$4 * 'PASTA LUNGA - GPL180'!K13) + (VALORI!B$5 * 'PASTA LUNGA - GPL180'!L13) + (VALORI!B$6 * 'PASTA LUNGA - GPL180'!M13) + (VALORI!B$7 * 'PASTA LUNGA - GPL180'!N13)</f>
        <v>37230</v>
      </c>
      <c r="P13" s="13">
        <f t="shared" si="3"/>
        <v>46537.5</v>
      </c>
      <c r="Q13" s="25">
        <v>137333.19600000003</v>
      </c>
      <c r="R13" s="26">
        <f t="shared" si="2"/>
        <v>164799.83520000003</v>
      </c>
      <c r="S13" s="27" t="s">
        <v>175</v>
      </c>
      <c r="T13" s="28">
        <f t="shared" si="0"/>
        <v>174563.19600000003</v>
      </c>
      <c r="U13" s="28">
        <f t="shared" si="1"/>
        <v>211337.33520000003</v>
      </c>
      <c r="V13" s="35" t="s">
        <v>55</v>
      </c>
      <c r="W13" s="28">
        <f t="shared" si="4"/>
        <v>8239.9917600000008</v>
      </c>
      <c r="X13" s="28">
        <f t="shared" si="5"/>
        <v>27466.639200000005</v>
      </c>
      <c r="Y13" s="28">
        <v>15000</v>
      </c>
      <c r="Z13" s="28">
        <f t="shared" si="6"/>
        <v>24750</v>
      </c>
      <c r="AA13" s="28">
        <v>3800</v>
      </c>
      <c r="AB13" s="28">
        <v>5500</v>
      </c>
      <c r="AC13" s="28">
        <v>1300</v>
      </c>
      <c r="AD13" s="28">
        <v>8000</v>
      </c>
      <c r="AE13" s="28">
        <v>2200</v>
      </c>
      <c r="AF13" s="28">
        <v>2800</v>
      </c>
      <c r="AG13" s="28">
        <v>1100</v>
      </c>
      <c r="AH13" s="28">
        <v>10000</v>
      </c>
      <c r="AI13" s="28">
        <v>8400</v>
      </c>
      <c r="AJ13" s="28">
        <v>4200</v>
      </c>
      <c r="AK13" s="28"/>
      <c r="AL13" s="28"/>
      <c r="AM13" s="28">
        <v>8000</v>
      </c>
      <c r="AN13" s="49"/>
      <c r="AO13" s="28">
        <v>1600</v>
      </c>
      <c r="AP13" s="28">
        <v>8000</v>
      </c>
      <c r="AQ13" s="28">
        <v>1100</v>
      </c>
      <c r="AR13" s="28">
        <v>2880</v>
      </c>
      <c r="AS13" s="49"/>
      <c r="AT13" s="28">
        <v>36650</v>
      </c>
      <c r="AU13" s="28">
        <v>29290</v>
      </c>
    </row>
    <row r="14" spans="1:47" ht="20.25" customHeight="1" x14ac:dyDescent="0.35">
      <c r="A14" s="11">
        <v>6000</v>
      </c>
      <c r="B14" s="10" t="s">
        <v>176</v>
      </c>
      <c r="C14" s="10" t="s">
        <v>177</v>
      </c>
      <c r="D14" s="10" t="s">
        <v>54</v>
      </c>
      <c r="E14" s="10" t="s">
        <v>54</v>
      </c>
      <c r="F14" s="10" t="s">
        <v>178</v>
      </c>
      <c r="G14" s="10" t="s">
        <v>54</v>
      </c>
      <c r="H14" s="10"/>
      <c r="I14" s="3">
        <v>120</v>
      </c>
      <c r="J14" s="3">
        <v>70</v>
      </c>
      <c r="K14" s="3">
        <v>70</v>
      </c>
      <c r="L14" s="3">
        <v>730</v>
      </c>
      <c r="M14" s="3">
        <v>80</v>
      </c>
      <c r="N14" s="3">
        <v>120</v>
      </c>
      <c r="O14" s="9">
        <f>(VALORI!B$3 * 'PASTA LUNGA - GPL180'!I14) + (VALORI!B$4 * 'PASTA LUNGA - GPL180'!J14) + (VALORI!B$4 * 'PASTA LUNGA - GPL180'!K14) + (VALORI!B$5 * 'PASTA LUNGA - GPL180'!L14) + (VALORI!B$6 * 'PASTA LUNGA - GPL180'!M14) + (VALORI!B$7 * 'PASTA LUNGA - GPL180'!N14)</f>
        <v>37810</v>
      </c>
      <c r="P14" s="13">
        <f t="shared" si="3"/>
        <v>47262.5</v>
      </c>
      <c r="Q14" s="25">
        <v>142282.14000000001</v>
      </c>
      <c r="R14" s="26">
        <f t="shared" si="2"/>
        <v>170738.56800000003</v>
      </c>
      <c r="S14" s="27" t="s">
        <v>109</v>
      </c>
      <c r="T14" s="28">
        <f t="shared" si="0"/>
        <v>180092.14</v>
      </c>
      <c r="U14" s="28">
        <f t="shared" si="1"/>
        <v>218001.06800000003</v>
      </c>
      <c r="V14" s="35" t="s">
        <v>55</v>
      </c>
      <c r="W14" s="28">
        <f t="shared" si="4"/>
        <v>8536.9284000000007</v>
      </c>
      <c r="X14" s="28">
        <f t="shared" si="5"/>
        <v>28456.428000000004</v>
      </c>
      <c r="Y14" s="28">
        <v>18000</v>
      </c>
      <c r="Z14" s="28">
        <f t="shared" si="6"/>
        <v>29700</v>
      </c>
      <c r="AA14" s="28">
        <v>3800</v>
      </c>
      <c r="AB14" s="28">
        <v>5500</v>
      </c>
      <c r="AC14" s="28">
        <v>1300</v>
      </c>
      <c r="AD14" s="28">
        <v>8000</v>
      </c>
      <c r="AE14" s="28">
        <v>2200</v>
      </c>
      <c r="AF14" s="28">
        <v>2800</v>
      </c>
      <c r="AG14" s="28">
        <v>1100</v>
      </c>
      <c r="AH14" s="28">
        <v>12000</v>
      </c>
      <c r="AI14" s="28">
        <v>8400</v>
      </c>
      <c r="AJ14" s="28">
        <v>4200</v>
      </c>
      <c r="AK14" s="28"/>
      <c r="AL14" s="28"/>
      <c r="AM14" s="28">
        <v>8000</v>
      </c>
      <c r="AN14" s="49"/>
      <c r="AO14" s="28">
        <v>1600</v>
      </c>
      <c r="AP14" s="28">
        <v>8000</v>
      </c>
      <c r="AQ14" s="28">
        <v>1100</v>
      </c>
      <c r="AR14" s="28">
        <v>2880</v>
      </c>
      <c r="AS14" s="49"/>
      <c r="AT14" s="28">
        <v>36650</v>
      </c>
      <c r="AU14" s="28">
        <v>29290</v>
      </c>
    </row>
    <row r="15" spans="1:47" ht="15.75" x14ac:dyDescent="0.25">
      <c r="AN15" s="49"/>
      <c r="AS15" s="49"/>
    </row>
    <row r="16" spans="1:47" ht="15.75" x14ac:dyDescent="0.25">
      <c r="A16"/>
      <c r="B16"/>
      <c r="C16"/>
      <c r="D16"/>
      <c r="E16"/>
      <c r="F16"/>
      <c r="G16"/>
      <c r="H16"/>
      <c r="I16"/>
      <c r="AP16" s="49"/>
      <c r="AU16" s="49"/>
    </row>
    <row r="17" spans="1:47" ht="15.75" x14ac:dyDescent="0.25">
      <c r="A17"/>
      <c r="B17"/>
      <c r="C17"/>
      <c r="D17"/>
      <c r="E17"/>
      <c r="F17"/>
      <c r="G17"/>
      <c r="H17"/>
      <c r="I17"/>
      <c r="AP17" s="49"/>
      <c r="AU17" s="49"/>
    </row>
    <row r="18" spans="1:47" ht="15.75" x14ac:dyDescent="0.25">
      <c r="A18"/>
      <c r="B18"/>
      <c r="C18"/>
      <c r="D18"/>
      <c r="E18"/>
      <c r="F18"/>
      <c r="G18"/>
      <c r="H18"/>
      <c r="I18"/>
      <c r="AP18" s="49"/>
      <c r="AU18" s="49"/>
    </row>
    <row r="19" spans="1:47" ht="15.75" x14ac:dyDescent="0.25">
      <c r="A19"/>
      <c r="B19"/>
      <c r="C19"/>
      <c r="D19"/>
      <c r="E19"/>
      <c r="F19"/>
      <c r="G19"/>
      <c r="H19"/>
      <c r="I19"/>
      <c r="AP19" s="49"/>
      <c r="AU19" s="49"/>
    </row>
    <row r="20" spans="1:47" ht="15.75" x14ac:dyDescent="0.25">
      <c r="A20"/>
      <c r="B20"/>
      <c r="C20"/>
      <c r="D20"/>
      <c r="E20"/>
      <c r="F20"/>
      <c r="G20"/>
      <c r="H20"/>
      <c r="I20"/>
      <c r="AP20" s="49"/>
      <c r="AU20" s="49"/>
    </row>
    <row r="21" spans="1:47" ht="15.75" x14ac:dyDescent="0.25">
      <c r="A21"/>
      <c r="B21"/>
      <c r="C21"/>
      <c r="D21"/>
      <c r="E21"/>
      <c r="F21"/>
      <c r="G21"/>
      <c r="H21"/>
      <c r="I21"/>
      <c r="AP21" s="49"/>
      <c r="AU21" s="49"/>
    </row>
    <row r="22" spans="1:47" ht="15.75" x14ac:dyDescent="0.25">
      <c r="A22"/>
      <c r="B22"/>
      <c r="C22"/>
      <c r="D22"/>
      <c r="E22"/>
      <c r="F22"/>
      <c r="G22"/>
      <c r="H22"/>
      <c r="I22"/>
      <c r="AP22" s="49"/>
      <c r="AU22" s="49"/>
    </row>
    <row r="23" spans="1:47" ht="15.75" x14ac:dyDescent="0.25">
      <c r="A23"/>
      <c r="B23"/>
      <c r="C23"/>
      <c r="D23"/>
      <c r="E23"/>
      <c r="F23"/>
      <c r="G23"/>
      <c r="H23"/>
      <c r="I23"/>
      <c r="AP23" s="49"/>
      <c r="AU23" s="49"/>
    </row>
    <row r="24" spans="1:47" ht="15.75" x14ac:dyDescent="0.25">
      <c r="A24"/>
      <c r="B24"/>
      <c r="C24"/>
      <c r="D24"/>
      <c r="E24"/>
      <c r="F24"/>
      <c r="G24"/>
      <c r="H24"/>
      <c r="I24"/>
      <c r="AP24" s="49"/>
      <c r="AU24" s="49"/>
    </row>
    <row r="25" spans="1:47" ht="15.75" x14ac:dyDescent="0.25">
      <c r="AN25" s="49"/>
      <c r="AS25" s="49"/>
    </row>
    <row r="26" spans="1:47" ht="15.75" customHeight="1" x14ac:dyDescent="0.25">
      <c r="A26"/>
      <c r="B26"/>
      <c r="C26"/>
      <c r="D26"/>
      <c r="E26"/>
      <c r="F26"/>
      <c r="G26"/>
      <c r="H26"/>
      <c r="I26"/>
      <c r="O26" s="224"/>
      <c r="P26" s="224"/>
    </row>
    <row r="27" spans="1:47" ht="15.75" customHeight="1" x14ac:dyDescent="0.25">
      <c r="A27"/>
      <c r="B27"/>
      <c r="C27"/>
      <c r="D27"/>
      <c r="E27"/>
      <c r="F27"/>
      <c r="G27"/>
      <c r="H27"/>
      <c r="I27"/>
      <c r="O27" s="224"/>
      <c r="P27" s="224"/>
    </row>
    <row r="28" spans="1:47" ht="15.75" customHeight="1" x14ac:dyDescent="0.25">
      <c r="A28"/>
      <c r="B28"/>
      <c r="C28"/>
      <c r="D28"/>
      <c r="E28"/>
      <c r="F28"/>
      <c r="G28"/>
      <c r="H28"/>
      <c r="I28"/>
      <c r="O28" s="224"/>
      <c r="P28" s="224"/>
    </row>
    <row r="29" spans="1:47" ht="15.75" customHeight="1" x14ac:dyDescent="0.25">
      <c r="A29"/>
      <c r="B29"/>
      <c r="C29"/>
      <c r="D29"/>
      <c r="E29"/>
      <c r="F29"/>
      <c r="G29"/>
      <c r="H29"/>
      <c r="I29"/>
      <c r="O29" s="224"/>
      <c r="P29" s="224"/>
    </row>
    <row r="30" spans="1:47" ht="15.75" customHeight="1" x14ac:dyDescent="0.25">
      <c r="A30"/>
      <c r="B30"/>
      <c r="C30"/>
      <c r="D30"/>
      <c r="E30"/>
      <c r="F30"/>
      <c r="G30"/>
      <c r="H30"/>
      <c r="I30"/>
      <c r="O30" s="218" t="s">
        <v>115</v>
      </c>
      <c r="P30" s="219"/>
      <c r="Q30" s="28" t="s">
        <v>116</v>
      </c>
      <c r="R30" s="28" t="s">
        <v>63</v>
      </c>
      <c r="S30" s="5"/>
      <c r="T30" s="28"/>
      <c r="U30" s="28"/>
      <c r="V30" s="28"/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4</v>
      </c>
      <c r="AD30" s="53">
        <v>8</v>
      </c>
      <c r="AE30" s="53">
        <v>8</v>
      </c>
      <c r="AF30" s="53">
        <v>8</v>
      </c>
      <c r="AG30" s="53">
        <v>5</v>
      </c>
      <c r="AH30" s="53">
        <v>0</v>
      </c>
      <c r="AI30" s="53">
        <v>8</v>
      </c>
      <c r="AJ30" s="53">
        <v>16</v>
      </c>
      <c r="AK30" s="53"/>
      <c r="AL30" s="53"/>
      <c r="AM30" s="53">
        <v>0</v>
      </c>
      <c r="AN30" s="49"/>
      <c r="AO30" s="53">
        <v>8</v>
      </c>
      <c r="AP30" s="53">
        <v>24</v>
      </c>
      <c r="AQ30" s="53">
        <v>6</v>
      </c>
      <c r="AR30" s="53">
        <v>6</v>
      </c>
      <c r="AS30" s="49"/>
    </row>
    <row r="31" spans="1:47" ht="15.75" customHeight="1" x14ac:dyDescent="0.25">
      <c r="A31"/>
      <c r="B31"/>
      <c r="C31"/>
      <c r="D31"/>
      <c r="E31"/>
      <c r="F31"/>
      <c r="G31"/>
      <c r="H31"/>
      <c r="I31"/>
      <c r="O31" s="220"/>
      <c r="P31" s="221"/>
      <c r="Q31" s="28" t="s">
        <v>117</v>
      </c>
      <c r="R31" s="28" t="s">
        <v>63</v>
      </c>
      <c r="S31" s="5"/>
      <c r="T31" s="28"/>
      <c r="U31" s="28"/>
      <c r="V31" s="28"/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8</v>
      </c>
      <c r="AD31" s="53">
        <v>8</v>
      </c>
      <c r="AE31" s="53">
        <v>8</v>
      </c>
      <c r="AF31" s="53">
        <v>8</v>
      </c>
      <c r="AG31" s="53">
        <v>5</v>
      </c>
      <c r="AH31" s="53">
        <v>0</v>
      </c>
      <c r="AI31" s="53">
        <v>8</v>
      </c>
      <c r="AJ31" s="53">
        <v>16</v>
      </c>
      <c r="AK31" s="53"/>
      <c r="AL31" s="53"/>
      <c r="AM31" s="53">
        <v>0</v>
      </c>
      <c r="AN31" s="49"/>
      <c r="AO31" s="53">
        <v>8</v>
      </c>
      <c r="AP31" s="53">
        <v>24</v>
      </c>
      <c r="AQ31" s="53">
        <v>6</v>
      </c>
      <c r="AR31" s="53">
        <v>6</v>
      </c>
      <c r="AS31" s="49"/>
    </row>
    <row r="32" spans="1:47" ht="15.75" customHeight="1" x14ac:dyDescent="0.25">
      <c r="A32"/>
      <c r="B32"/>
      <c r="C32"/>
      <c r="D32"/>
      <c r="E32"/>
      <c r="F32"/>
      <c r="G32"/>
      <c r="H32"/>
      <c r="I32"/>
      <c r="O32" s="220"/>
      <c r="P32" s="221"/>
      <c r="Q32" s="28" t="s">
        <v>118</v>
      </c>
      <c r="R32" s="53">
        <v>30</v>
      </c>
      <c r="S32" s="5"/>
      <c r="T32" s="28"/>
      <c r="U32" s="28"/>
      <c r="V32" s="28"/>
      <c r="W32" s="53">
        <v>10</v>
      </c>
      <c r="X32" s="53">
        <v>30</v>
      </c>
      <c r="Y32" s="53">
        <v>8</v>
      </c>
      <c r="Z32" s="53">
        <v>8</v>
      </c>
      <c r="AA32" s="53">
        <v>8</v>
      </c>
      <c r="AB32" s="53">
        <v>2</v>
      </c>
      <c r="AC32" s="53">
        <v>6</v>
      </c>
      <c r="AD32" s="53">
        <v>8</v>
      </c>
      <c r="AE32" s="53">
        <v>10</v>
      </c>
      <c r="AF32" s="53">
        <v>10</v>
      </c>
      <c r="AG32" s="53">
        <v>8</v>
      </c>
      <c r="AH32" s="53">
        <v>4</v>
      </c>
      <c r="AI32" s="53">
        <v>8</v>
      </c>
      <c r="AJ32" s="53">
        <v>24</v>
      </c>
      <c r="AK32" s="53"/>
      <c r="AL32" s="53"/>
      <c r="AM32" s="53">
        <v>15</v>
      </c>
      <c r="AN32" s="49"/>
      <c r="AO32" s="53">
        <v>8</v>
      </c>
      <c r="AP32" s="53">
        <v>24</v>
      </c>
      <c r="AQ32" s="53">
        <v>6</v>
      </c>
      <c r="AR32" s="53">
        <v>6</v>
      </c>
      <c r="AS32" s="49"/>
    </row>
    <row r="33" spans="1:45" ht="15.75" customHeight="1" x14ac:dyDescent="0.25">
      <c r="A33"/>
      <c r="B33"/>
      <c r="C33"/>
      <c r="D33"/>
      <c r="E33"/>
      <c r="F33"/>
      <c r="G33"/>
      <c r="H33"/>
      <c r="I33"/>
      <c r="O33" s="222"/>
      <c r="P33" s="223"/>
      <c r="Q33" s="28" t="s">
        <v>119</v>
      </c>
      <c r="R33" s="53">
        <v>90</v>
      </c>
      <c r="S33" s="5"/>
      <c r="T33" s="28"/>
      <c r="U33" s="28"/>
      <c r="V33" s="28"/>
      <c r="W33" s="53">
        <v>30</v>
      </c>
      <c r="X33" s="53">
        <v>90</v>
      </c>
      <c r="Y33" s="53">
        <v>24</v>
      </c>
      <c r="Z33" s="53">
        <v>24</v>
      </c>
      <c r="AA33" s="53">
        <v>20</v>
      </c>
      <c r="AB33" s="53">
        <v>1</v>
      </c>
      <c r="AC33" s="53">
        <v>4</v>
      </c>
      <c r="AD33" s="53">
        <v>50</v>
      </c>
      <c r="AE33" s="53">
        <v>10</v>
      </c>
      <c r="AF33" s="53">
        <v>5</v>
      </c>
      <c r="AG33" s="53">
        <v>5</v>
      </c>
      <c r="AH33" s="53">
        <v>0</v>
      </c>
      <c r="AI33" s="53">
        <v>24</v>
      </c>
      <c r="AJ33" s="53">
        <v>5</v>
      </c>
      <c r="AK33" s="53"/>
      <c r="AL33" s="53"/>
      <c r="AM33" s="53">
        <v>3</v>
      </c>
      <c r="AN33" s="49"/>
      <c r="AO33" s="53">
        <v>20</v>
      </c>
      <c r="AP33" s="53">
        <v>70</v>
      </c>
      <c r="AQ33" s="53">
        <v>20</v>
      </c>
      <c r="AR33" s="53">
        <v>20</v>
      </c>
      <c r="AS33" s="49"/>
    </row>
    <row r="37" spans="1:45" ht="76.349999999999994" customHeight="1" x14ac:dyDescent="0.25">
      <c r="O37" s="85">
        <v>44731</v>
      </c>
      <c r="P37" t="s">
        <v>303</v>
      </c>
      <c r="Q37" s="85" t="s">
        <v>344</v>
      </c>
      <c r="R37" s="85" t="s">
        <v>345</v>
      </c>
      <c r="W37" s="94" t="s">
        <v>339</v>
      </c>
      <c r="X37" s="94" t="s">
        <v>339</v>
      </c>
      <c r="Y37" s="94" t="s">
        <v>339</v>
      </c>
      <c r="Z37" s="94" t="s">
        <v>339</v>
      </c>
      <c r="AA37" s="94" t="s">
        <v>339</v>
      </c>
      <c r="AB37" s="94" t="s">
        <v>339</v>
      </c>
      <c r="AC37" s="94" t="s">
        <v>339</v>
      </c>
      <c r="AD37" s="94" t="s">
        <v>339</v>
      </c>
      <c r="AE37" s="94" t="s">
        <v>339</v>
      </c>
      <c r="AF37" s="94" t="s">
        <v>339</v>
      </c>
      <c r="AG37" s="94" t="s">
        <v>339</v>
      </c>
      <c r="AH37" s="94" t="s">
        <v>339</v>
      </c>
      <c r="AI37" s="94" t="s">
        <v>339</v>
      </c>
      <c r="AJ37" s="94" t="s">
        <v>339</v>
      </c>
      <c r="AK37" s="94" t="s">
        <v>339</v>
      </c>
      <c r="AL37" s="94" t="s">
        <v>339</v>
      </c>
      <c r="AM37" s="94" t="s">
        <v>339</v>
      </c>
      <c r="AN37" s="94" t="s">
        <v>339</v>
      </c>
      <c r="AO37" s="94" t="s">
        <v>339</v>
      </c>
    </row>
    <row r="38" spans="1:45" ht="15.75" x14ac:dyDescent="0.25">
      <c r="O38" s="25">
        <v>0</v>
      </c>
      <c r="P38" s="25">
        <f>(O38*10%)+O38</f>
        <v>0</v>
      </c>
      <c r="Q38" s="25">
        <f>(P38*4%)+P38</f>
        <v>0</v>
      </c>
      <c r="R38" s="25">
        <f>(Q38*3%)+Q38</f>
        <v>0</v>
      </c>
      <c r="W38" s="28">
        <f>IF(W3&gt;0, W3-(W$30*VALORI!$B$4)-(W$31*VALORI!$B$4)-(W$32*VALORI!$B$3)-(W$33*VALORI!$B$5),0)</f>
        <v>0</v>
      </c>
      <c r="X38" s="28">
        <f>IF(X3&gt;0, X3-(X$30*VALORI!$B$4)-(X$31*VALORI!$B$4)-(X$32*VALORI!$B$3)-(X$33*VALORI!$B$5),0)</f>
        <v>0</v>
      </c>
      <c r="Y38" s="28">
        <f>IF(Y3&gt;0, Y3-(Y$30*VALORI!$B$4)-(Y$31*VALORI!$B$4)-(Y$32*VALORI!$B$3)-(Y$33*VALORI!$B$5),0)</f>
        <v>0</v>
      </c>
      <c r="Z38" s="28">
        <f>IF(Z3&gt;0, Z3-(Z$30*VALORI!$B$4)-(Z$31*VALORI!$B$4)-(Z$32*VALORI!$B$3)-(Z$33*VALORI!$B$5),0)</f>
        <v>0</v>
      </c>
      <c r="AA38" s="28">
        <f>IF(AA3&gt;0, AA3-(AA$30*VALORI!$B$4)-(AA$31*VALORI!$B$4)-(AA$32*VALORI!$B$3)-(AA$33*VALORI!$B$5),0)</f>
        <v>0</v>
      </c>
      <c r="AB38" s="28">
        <f>IF(AB3&gt;0, AB3-(AB$30*VALORI!$B$4)-(AB$31*VALORI!$B$4)-(AB$32*VALORI!$B$3)-(AB$33*VALORI!$B$5),0)</f>
        <v>0</v>
      </c>
      <c r="AC38" s="28">
        <f>IF(AC3&gt;0, AC3-(AC$30*VALORI!$B$4)-(AC$31*VALORI!$B$4)-(AC$32*VALORI!$B$3)-(AC$33*VALORI!$B$5),0)</f>
        <v>0</v>
      </c>
      <c r="AD38" s="28">
        <f>IF(AD3&gt;0, AD3-(AD$30*VALORI!$B$4)-(AD$31*VALORI!$B$4)-(AD$32*VALORI!$B$3)-(AD$33*VALORI!$B$5),0)</f>
        <v>0</v>
      </c>
      <c r="AE38" s="28">
        <f>IF(AE3&gt;0, AE3-(AE$30*VALORI!$B$4)-(AE$31*VALORI!$B$4)-(AE$32*VALORI!$B$3)-(AE$33*VALORI!$B$5),0)</f>
        <v>0</v>
      </c>
      <c r="AF38" s="28">
        <f>IF(AF3&gt;0, AF3-(AF$30*VALORI!$B$4)-(AF$31*VALORI!$B$4)-(AF$32*VALORI!$B$3)-(AF$33*VALORI!$B$5),0)</f>
        <v>0</v>
      </c>
      <c r="AG38" s="28">
        <f>IF(AG3&gt;0, AG3-(AG$30*VALORI!$B$4)-(AG$31*VALORI!$B$4)-(AG$32*VALORI!$B$3)-(AG$33*VALORI!$B$5),0)</f>
        <v>0</v>
      </c>
      <c r="AH38" s="28">
        <f>IF(AH3&gt;0, AH3-(AH$30*VALORI!$B$4)-(AH$31*VALORI!$B$4)-(AH$32*VALORI!$B$3)-(AH$33*VALORI!$B$5),0)</f>
        <v>0</v>
      </c>
      <c r="AI38" s="28">
        <f>IF(AI3&gt;0, AI3-(AI$30*VALORI!$B$4)-(AI$31*VALORI!$B$4)-(AI$32*VALORI!$B$3)-(AI$33*VALORI!$B$5),0)</f>
        <v>0</v>
      </c>
      <c r="AJ38" s="28">
        <f>IF(AJ3&gt;0, AJ3-(AJ$30*VALORI!$B$4)-(AJ$31*VALORI!$B$4)-(AJ$32*VALORI!$B$3)-(AJ$33*VALORI!$B$5),0)</f>
        <v>0</v>
      </c>
      <c r="AK38" s="28">
        <f>IF(AK3&gt;0, AK3-(AK$30*VALORI!$B$4)-(AK$31*VALORI!$B$4)-(AK$32*VALORI!$B$3)-(AK$33*VALORI!$B$5),0)</f>
        <v>0</v>
      </c>
      <c r="AL38" s="28">
        <f>IF(AL3&gt;0, AL3-(AL$30*VALORI!$B$4)-(AL$31*VALORI!$B$4)-(AL$32*VALORI!$B$3)-(AL$33*VALORI!$B$5),0)</f>
        <v>0</v>
      </c>
      <c r="AM38" s="28">
        <f>IF(AM3&gt;0, AM3-(AM$30*VALORI!$B$4)-(AM$31*VALORI!$B$4)-(AM$32*VALORI!$B$3)-(AM$33*VALORI!$B$5),0)</f>
        <v>0</v>
      </c>
      <c r="AN38" s="28">
        <f>IF(AN3&gt;0, AN3-(AN$30*VALORI!$B$4)-(AN$31*VALORI!$B$4)-(AN$32*VALORI!$B$3)-(AN$33*VALORI!$B$5),0)</f>
        <v>0</v>
      </c>
      <c r="AO38" s="28">
        <f>IF(AO3&gt;0, AO3-(AO$30*VALORI!$B$4)-(AO$31*VALORI!$B$4)-(AO$32*VALORI!$B$3)-(AO$33*VALORI!$B$5),0)</f>
        <v>0</v>
      </c>
    </row>
    <row r="39" spans="1:45" ht="15.75" x14ac:dyDescent="0.25">
      <c r="O39" s="25">
        <v>0</v>
      </c>
      <c r="P39" s="25">
        <f>(O39*10%)+O39</f>
        <v>0</v>
      </c>
      <c r="Q39" s="25">
        <f t="shared" ref="Q39:Q49" si="7">(P39*4%)+P39</f>
        <v>0</v>
      </c>
      <c r="R39" s="25">
        <f t="shared" ref="R39:R49" si="8">(Q39*3%)+Q39</f>
        <v>0</v>
      </c>
      <c r="W39" s="28">
        <f>IF(W4&gt;0, W4-(W$30*VALORI!$B$4)-(W$31*VALORI!$B$4)-(W$32*VALORI!$B$3)-(W$33*VALORI!$B$5),0)</f>
        <v>0</v>
      </c>
      <c r="X39" s="28">
        <f>IF(X4&gt;0, X4-(X$30*VALORI!$B$4)-(X$31*VALORI!$B$4)-(X$32*VALORI!$B$3)-(X$33*VALORI!$B$5),0)</f>
        <v>0</v>
      </c>
      <c r="Y39" s="28">
        <f>IF(Y4&gt;0, Y4-(Y$30*VALORI!$B$4)-(Y$31*VALORI!$B$4)-(Y$32*VALORI!$B$3)-(Y$33*VALORI!$B$5),0)</f>
        <v>0</v>
      </c>
      <c r="Z39" s="28">
        <f>IF(Z4&gt;0, Z4-(Z$30*VALORI!$B$4)-(Z$31*VALORI!$B$4)-(Z$32*VALORI!$B$3)-(Z$33*VALORI!$B$5),0)</f>
        <v>0</v>
      </c>
      <c r="AA39" s="28">
        <f>IF(AA4&gt;0, AA4-(AA$30*VALORI!$B$4)-(AA$31*VALORI!$B$4)-(AA$32*VALORI!$B$3)-(AA$33*VALORI!$B$5),0)</f>
        <v>0</v>
      </c>
      <c r="AB39" s="28">
        <f>IF(AB4&gt;0, AB4-(AB$30*VALORI!$B$4)-(AB$31*VALORI!$B$4)-(AB$32*VALORI!$B$3)-(AB$33*VALORI!$B$5),0)</f>
        <v>0</v>
      </c>
      <c r="AC39" s="28">
        <f>IF(AC4&gt;0, AC4-(AC$30*VALORI!$B$4)-(AC$31*VALORI!$B$4)-(AC$32*VALORI!$B$3)-(AC$33*VALORI!$B$5),0)</f>
        <v>0</v>
      </c>
      <c r="AD39" s="28">
        <f>IF(AD4&gt;0, AD4-(AD$30*VALORI!$B$4)-(AD$31*VALORI!$B$4)-(AD$32*VALORI!$B$3)-(AD$33*VALORI!$B$5),0)</f>
        <v>0</v>
      </c>
      <c r="AE39" s="28">
        <f>IF(AE4&gt;0, AE4-(AE$30*VALORI!$B$4)-(AE$31*VALORI!$B$4)-(AE$32*VALORI!$B$3)-(AE$33*VALORI!$B$5),0)</f>
        <v>0</v>
      </c>
      <c r="AF39" s="28">
        <f>IF(AF4&gt;0, AF4-(AF$30*VALORI!$B$4)-(AF$31*VALORI!$B$4)-(AF$32*VALORI!$B$3)-(AF$33*VALORI!$B$5),0)</f>
        <v>0</v>
      </c>
      <c r="AG39" s="28">
        <f>IF(AG4&gt;0, AG4-(AG$30*VALORI!$B$4)-(AG$31*VALORI!$B$4)-(AG$32*VALORI!$B$3)-(AG$33*VALORI!$B$5),0)</f>
        <v>0</v>
      </c>
      <c r="AH39" s="28">
        <f>IF(AH4&gt;0, AH4-(AH$30*VALORI!$B$4)-(AH$31*VALORI!$B$4)-(AH$32*VALORI!$B$3)-(AH$33*VALORI!$B$5),0)</f>
        <v>0</v>
      </c>
      <c r="AI39" s="28">
        <f>IF(AI4&gt;0, AI4-(AI$30*VALORI!$B$4)-(AI$31*VALORI!$B$4)-(AI$32*VALORI!$B$3)-(AI$33*VALORI!$B$5),0)</f>
        <v>0</v>
      </c>
      <c r="AJ39" s="28">
        <f>IF(AJ4&gt;0, AJ4-(AJ$30*VALORI!$B$4)-(AJ$31*VALORI!$B$4)-(AJ$32*VALORI!$B$3)-(AJ$33*VALORI!$B$5),0)</f>
        <v>0</v>
      </c>
      <c r="AK39" s="28">
        <f>IF(AK4&gt;0, AK4-(AK$30*VALORI!$B$4)-(AK$31*VALORI!$B$4)-(AK$32*VALORI!$B$3)-(AK$33*VALORI!$B$5),0)</f>
        <v>0</v>
      </c>
      <c r="AL39" s="28">
        <f>IF(AL4&gt;0, AL4-(AL$30*VALORI!$B$4)-(AL$31*VALORI!$B$4)-(AL$32*VALORI!$B$3)-(AL$33*VALORI!$B$5),0)</f>
        <v>0</v>
      </c>
      <c r="AM39" s="28">
        <f>IF(AM4&gt;0, AM4-(AM$30*VALORI!$B$4)-(AM$31*VALORI!$B$4)-(AM$32*VALORI!$B$3)-(AM$33*VALORI!$B$5),0)</f>
        <v>0</v>
      </c>
      <c r="AN39" s="28">
        <f>IF(AN4&gt;0, AN4-(AN$30*VALORI!$B$4)-(AN$31*VALORI!$B$4)-(AN$32*VALORI!$B$3)-(AN$33*VALORI!$B$5),0)</f>
        <v>0</v>
      </c>
      <c r="AO39" s="28">
        <f>IF(AO4&gt;0, AO4-(AO$30*VALORI!$B$4)-(AO$31*VALORI!$B$4)-(AO$32*VALORI!$B$3)-(AO$33*VALORI!$B$5),0)</f>
        <v>0</v>
      </c>
    </row>
    <row r="40" spans="1:45" ht="15.75" x14ac:dyDescent="0.25">
      <c r="O40" s="25">
        <v>0</v>
      </c>
      <c r="P40" s="25">
        <f t="shared" ref="P40:P49" si="9">(O40*10%)+O40</f>
        <v>0</v>
      </c>
      <c r="Q40" s="25">
        <f t="shared" si="7"/>
        <v>0</v>
      </c>
      <c r="R40" s="25">
        <f t="shared" si="8"/>
        <v>0</v>
      </c>
      <c r="W40" s="28">
        <f>IF(W5&gt;0, W5-(W$30*VALORI!$B$4)-(W$31*VALORI!$B$4)-(W$32*VALORI!$B$3)-(W$33*VALORI!$B$5),0)</f>
        <v>0</v>
      </c>
      <c r="X40" s="28">
        <f>IF(X5&gt;0, X5-(X$30*VALORI!$B$4)-(X$31*VALORI!$B$4)-(X$32*VALORI!$B$3)-(X$33*VALORI!$B$5),0)</f>
        <v>0</v>
      </c>
      <c r="Y40" s="28">
        <f>IF(Y5&gt;0, Y5-(Y$30*VALORI!$B$4)-(Y$31*VALORI!$B$4)-(Y$32*VALORI!$B$3)-(Y$33*VALORI!$B$5),0)</f>
        <v>0</v>
      </c>
      <c r="Z40" s="28">
        <f>IF(Z5&gt;0, Z5-(Z$30*VALORI!$B$4)-(Z$31*VALORI!$B$4)-(Z$32*VALORI!$B$3)-(Z$33*VALORI!$B$5),0)</f>
        <v>0</v>
      </c>
      <c r="AA40" s="28">
        <f>IF(AA5&gt;0, AA5-(AA$30*VALORI!$B$4)-(AA$31*VALORI!$B$4)-(AA$32*VALORI!$B$3)-(AA$33*VALORI!$B$5),0)</f>
        <v>0</v>
      </c>
      <c r="AB40" s="28">
        <f>IF(AB5&gt;0, AB5-(AB$30*VALORI!$B$4)-(AB$31*VALORI!$B$4)-(AB$32*VALORI!$B$3)-(AB$33*VALORI!$B$5),0)</f>
        <v>0</v>
      </c>
      <c r="AC40" s="28">
        <f>IF(AC5&gt;0, AC5-(AC$30*VALORI!$B$4)-(AC$31*VALORI!$B$4)-(AC$32*VALORI!$B$3)-(AC$33*VALORI!$B$5),0)</f>
        <v>0</v>
      </c>
      <c r="AD40" s="28">
        <f>IF(AD5&gt;0, AD5-(AD$30*VALORI!$B$4)-(AD$31*VALORI!$B$4)-(AD$32*VALORI!$B$3)-(AD$33*VALORI!$B$5),0)</f>
        <v>0</v>
      </c>
      <c r="AE40" s="28">
        <f>IF(AE5&gt;0, AE5-(AE$30*VALORI!$B$4)-(AE$31*VALORI!$B$4)-(AE$32*VALORI!$B$3)-(AE$33*VALORI!$B$5),0)</f>
        <v>0</v>
      </c>
      <c r="AF40" s="28">
        <f>IF(AF5&gt;0, AF5-(AF$30*VALORI!$B$4)-(AF$31*VALORI!$B$4)-(AF$32*VALORI!$B$3)-(AF$33*VALORI!$B$5),0)</f>
        <v>0</v>
      </c>
      <c r="AG40" s="28">
        <f>IF(AG5&gt;0, AG5-(AG$30*VALORI!$B$4)-(AG$31*VALORI!$B$4)-(AG$32*VALORI!$B$3)-(AG$33*VALORI!$B$5),0)</f>
        <v>0</v>
      </c>
      <c r="AH40" s="28">
        <f>IF(AH5&gt;0, AH5-(AH$30*VALORI!$B$4)-(AH$31*VALORI!$B$4)-(AH$32*VALORI!$B$3)-(AH$33*VALORI!$B$5),0)</f>
        <v>0</v>
      </c>
      <c r="AI40" s="28">
        <f>IF(AI5&gt;0, AI5-(AI$30*VALORI!$B$4)-(AI$31*VALORI!$B$4)-(AI$32*VALORI!$B$3)-(AI$33*VALORI!$B$5),0)</f>
        <v>0</v>
      </c>
      <c r="AJ40" s="28">
        <f>IF(AJ5&gt;0, AJ5-(AJ$30*VALORI!$B$4)-(AJ$31*VALORI!$B$4)-(AJ$32*VALORI!$B$3)-(AJ$33*VALORI!$B$5),0)</f>
        <v>0</v>
      </c>
      <c r="AK40" s="28">
        <f>IF(AK5&gt;0, AK5-(AK$30*VALORI!$B$4)-(AK$31*VALORI!$B$4)-(AK$32*VALORI!$B$3)-(AK$33*VALORI!$B$5),0)</f>
        <v>0</v>
      </c>
      <c r="AL40" s="28">
        <f>IF(AL5&gt;0, AL5-(AL$30*VALORI!$B$4)-(AL$31*VALORI!$B$4)-(AL$32*VALORI!$B$3)-(AL$33*VALORI!$B$5),0)</f>
        <v>0</v>
      </c>
      <c r="AM40" s="28">
        <f>IF(AM5&gt;0, AM5-(AM$30*VALORI!$B$4)-(AM$31*VALORI!$B$4)-(AM$32*VALORI!$B$3)-(AM$33*VALORI!$B$5),0)</f>
        <v>0</v>
      </c>
      <c r="AN40" s="28">
        <f>IF(AN5&gt;0, AN5-(AN$30*VALORI!$B$4)-(AN$31*VALORI!$B$4)-(AN$32*VALORI!$B$3)-(AN$33*VALORI!$B$5),0)</f>
        <v>0</v>
      </c>
      <c r="AO40" s="28">
        <f>IF(AO5&gt;0, AO5-(AO$30*VALORI!$B$4)-(AO$31*VALORI!$B$4)-(AO$32*VALORI!$B$3)-(AO$33*VALORI!$B$5),0)</f>
        <v>0</v>
      </c>
    </row>
    <row r="41" spans="1:45" ht="15.75" x14ac:dyDescent="0.25">
      <c r="O41" s="25">
        <v>0</v>
      </c>
      <c r="P41" s="25">
        <f t="shared" si="9"/>
        <v>0</v>
      </c>
      <c r="Q41" s="25">
        <f t="shared" si="7"/>
        <v>0</v>
      </c>
      <c r="R41" s="25">
        <f t="shared" si="8"/>
        <v>0</v>
      </c>
      <c r="W41" s="28">
        <f>IF(W6&gt;0, W6-(W$30*VALORI!$B$4)-(W$31*VALORI!$B$4)-(W$32*VALORI!$B$3)-(W$33*VALORI!$B$5),0)</f>
        <v>0</v>
      </c>
      <c r="X41" s="28">
        <f>IF(X6&gt;0, X6-(X$30*VALORI!$B$4)-(X$31*VALORI!$B$4)-(X$32*VALORI!$B$3)-(X$33*VALORI!$B$5),0)</f>
        <v>0</v>
      </c>
      <c r="Y41" s="28">
        <f>IF(Y6&gt;0, Y6-(Y$30*VALORI!$B$4)-(Y$31*VALORI!$B$4)-(Y$32*VALORI!$B$3)-(Y$33*VALORI!$B$5),0)</f>
        <v>0</v>
      </c>
      <c r="Z41" s="28">
        <f>IF(Z6&gt;0, Z6-(Z$30*VALORI!$B$4)-(Z$31*VALORI!$B$4)-(Z$32*VALORI!$B$3)-(Z$33*VALORI!$B$5),0)</f>
        <v>0</v>
      </c>
      <c r="AA41" s="28">
        <f>IF(AA6&gt;0, AA6-(AA$30*VALORI!$B$4)-(AA$31*VALORI!$B$4)-(AA$32*VALORI!$B$3)-(AA$33*VALORI!$B$5),0)</f>
        <v>0</v>
      </c>
      <c r="AB41" s="28">
        <f>IF(AB6&gt;0, AB6-(AB$30*VALORI!$B$4)-(AB$31*VALORI!$B$4)-(AB$32*VALORI!$B$3)-(AB$33*VALORI!$B$5),0)</f>
        <v>0</v>
      </c>
      <c r="AC41" s="28">
        <f>IF(AC6&gt;0, AC6-(AC$30*VALORI!$B$4)-(AC$31*VALORI!$B$4)-(AC$32*VALORI!$B$3)-(AC$33*VALORI!$B$5),0)</f>
        <v>0</v>
      </c>
      <c r="AD41" s="28">
        <f>IF(AD6&gt;0, AD6-(AD$30*VALORI!$B$4)-(AD$31*VALORI!$B$4)-(AD$32*VALORI!$B$3)-(AD$33*VALORI!$B$5),0)</f>
        <v>0</v>
      </c>
      <c r="AE41" s="28">
        <f>IF(AE6&gt;0, AE6-(AE$30*VALORI!$B$4)-(AE$31*VALORI!$B$4)-(AE$32*VALORI!$B$3)-(AE$33*VALORI!$B$5),0)</f>
        <v>0</v>
      </c>
      <c r="AF41" s="28">
        <f>IF(AF6&gt;0, AF6-(AF$30*VALORI!$B$4)-(AF$31*VALORI!$B$4)-(AF$32*VALORI!$B$3)-(AF$33*VALORI!$B$5),0)</f>
        <v>0</v>
      </c>
      <c r="AG41" s="28">
        <f>IF(AG6&gt;0, AG6-(AG$30*VALORI!$B$4)-(AG$31*VALORI!$B$4)-(AG$32*VALORI!$B$3)-(AG$33*VALORI!$B$5),0)</f>
        <v>0</v>
      </c>
      <c r="AH41" s="28">
        <f>IF(AH6&gt;0, AH6-(AH$30*VALORI!$B$4)-(AH$31*VALORI!$B$4)-(AH$32*VALORI!$B$3)-(AH$33*VALORI!$B$5),0)</f>
        <v>0</v>
      </c>
      <c r="AI41" s="28">
        <f>IF(AI6&gt;0, AI6-(AI$30*VALORI!$B$4)-(AI$31*VALORI!$B$4)-(AI$32*VALORI!$B$3)-(AI$33*VALORI!$B$5),0)</f>
        <v>0</v>
      </c>
      <c r="AJ41" s="28">
        <f>IF(AJ6&gt;0, AJ6-(AJ$30*VALORI!$B$4)-(AJ$31*VALORI!$B$4)-(AJ$32*VALORI!$B$3)-(AJ$33*VALORI!$B$5),0)</f>
        <v>0</v>
      </c>
      <c r="AK41" s="28">
        <f>IF(AK6&gt;0, AK6-(AK$30*VALORI!$B$4)-(AK$31*VALORI!$B$4)-(AK$32*VALORI!$B$3)-(AK$33*VALORI!$B$5),0)</f>
        <v>0</v>
      </c>
      <c r="AL41" s="28">
        <f>IF(AL6&gt;0, AL6-(AL$30*VALORI!$B$4)-(AL$31*VALORI!$B$4)-(AL$32*VALORI!$B$3)-(AL$33*VALORI!$B$5),0)</f>
        <v>0</v>
      </c>
      <c r="AM41" s="28">
        <f>IF(AM6&gt;0, AM6-(AM$30*VALORI!$B$4)-(AM$31*VALORI!$B$4)-(AM$32*VALORI!$B$3)-(AM$33*VALORI!$B$5),0)</f>
        <v>0</v>
      </c>
      <c r="AN41" s="28">
        <f>IF(AN6&gt;0, AN6-(AN$30*VALORI!$B$4)-(AN$31*VALORI!$B$4)-(AN$32*VALORI!$B$3)-(AN$33*VALORI!$B$5),0)</f>
        <v>0</v>
      </c>
      <c r="AO41" s="28">
        <f>IF(AO6&gt;0, AO6-(AO$30*VALORI!$B$4)-(AO$31*VALORI!$B$4)-(AO$32*VALORI!$B$3)-(AO$33*VALORI!$B$5),0)</f>
        <v>0</v>
      </c>
    </row>
    <row r="42" spans="1:45" ht="15.75" x14ac:dyDescent="0.25">
      <c r="O42" s="25">
        <v>0</v>
      </c>
      <c r="P42" s="25">
        <f t="shared" si="9"/>
        <v>0</v>
      </c>
      <c r="Q42" s="25">
        <f t="shared" si="7"/>
        <v>0</v>
      </c>
      <c r="R42" s="25">
        <f t="shared" si="8"/>
        <v>0</v>
      </c>
      <c r="W42" s="28">
        <f>IF(W7&gt;0, W7-(W$30*VALORI!$B$4)-(W$31*VALORI!$B$4)-(W$32*VALORI!$B$3)-(W$33*VALORI!$B$5),0)</f>
        <v>0</v>
      </c>
      <c r="X42" s="28">
        <f>IF(X7&gt;0, X7-(X$30*VALORI!$B$4)-(X$31*VALORI!$B$4)-(X$32*VALORI!$B$3)-(X$33*VALORI!$B$5),0)</f>
        <v>0</v>
      </c>
      <c r="Y42" s="28">
        <f>IF(Y7&gt;0, Y7-(Y$30*VALORI!$B$4)-(Y$31*VALORI!$B$4)-(Y$32*VALORI!$B$3)-(Y$33*VALORI!$B$5),0)</f>
        <v>0</v>
      </c>
      <c r="Z42" s="28">
        <f>IF(Z7&gt;0, Z7-(Z$30*VALORI!$B$4)-(Z$31*VALORI!$B$4)-(Z$32*VALORI!$B$3)-(Z$33*VALORI!$B$5),0)</f>
        <v>0</v>
      </c>
      <c r="AA42" s="28">
        <f>IF(AA7&gt;0, AA7-(AA$30*VALORI!$B$4)-(AA$31*VALORI!$B$4)-(AA$32*VALORI!$B$3)-(AA$33*VALORI!$B$5),0)</f>
        <v>0</v>
      </c>
      <c r="AB42" s="28">
        <f>IF(AB7&gt;0, AB7-(AB$30*VALORI!$B$4)-(AB$31*VALORI!$B$4)-(AB$32*VALORI!$B$3)-(AB$33*VALORI!$B$5),0)</f>
        <v>0</v>
      </c>
      <c r="AC42" s="28">
        <f>IF(AC7&gt;0, AC7-(AC$30*VALORI!$B$4)-(AC$31*VALORI!$B$4)-(AC$32*VALORI!$B$3)-(AC$33*VALORI!$B$5),0)</f>
        <v>0</v>
      </c>
      <c r="AD42" s="28">
        <f>IF(AD7&gt;0, AD7-(AD$30*VALORI!$B$4)-(AD$31*VALORI!$B$4)-(AD$32*VALORI!$B$3)-(AD$33*VALORI!$B$5),0)</f>
        <v>0</v>
      </c>
      <c r="AE42" s="28">
        <f>IF(AE7&gt;0, AE7-(AE$30*VALORI!$B$4)-(AE$31*VALORI!$B$4)-(AE$32*VALORI!$B$3)-(AE$33*VALORI!$B$5),0)</f>
        <v>0</v>
      </c>
      <c r="AF42" s="28">
        <f>IF(AF7&gt;0, AF7-(AF$30*VALORI!$B$4)-(AF$31*VALORI!$B$4)-(AF$32*VALORI!$B$3)-(AF$33*VALORI!$B$5),0)</f>
        <v>0</v>
      </c>
      <c r="AG42" s="28">
        <f>IF(AG7&gt;0, AG7-(AG$30*VALORI!$B$4)-(AG$31*VALORI!$B$4)-(AG$32*VALORI!$B$3)-(AG$33*VALORI!$B$5),0)</f>
        <v>0</v>
      </c>
      <c r="AH42" s="28">
        <f>IF(AH7&gt;0, AH7-(AH$30*VALORI!$B$4)-(AH$31*VALORI!$B$4)-(AH$32*VALORI!$B$3)-(AH$33*VALORI!$B$5),0)</f>
        <v>0</v>
      </c>
      <c r="AI42" s="28">
        <f>IF(AI7&gt;0, AI7-(AI$30*VALORI!$B$4)-(AI$31*VALORI!$B$4)-(AI$32*VALORI!$B$3)-(AI$33*VALORI!$B$5),0)</f>
        <v>0</v>
      </c>
      <c r="AJ42" s="28">
        <f>IF(AJ7&gt;0, AJ7-(AJ$30*VALORI!$B$4)-(AJ$31*VALORI!$B$4)-(AJ$32*VALORI!$B$3)-(AJ$33*VALORI!$B$5),0)</f>
        <v>0</v>
      </c>
      <c r="AK42" s="28">
        <f>IF(AK7&gt;0, AK7-(AK$30*VALORI!$B$4)-(AK$31*VALORI!$B$4)-(AK$32*VALORI!$B$3)-(AK$33*VALORI!$B$5),0)</f>
        <v>0</v>
      </c>
      <c r="AL42" s="28">
        <f>IF(AL7&gt;0, AL7-(AL$30*VALORI!$B$4)-(AL$31*VALORI!$B$4)-(AL$32*VALORI!$B$3)-(AL$33*VALORI!$B$5),0)</f>
        <v>0</v>
      </c>
      <c r="AM42" s="28">
        <f>IF(AM7&gt;0, AM7-(AM$30*VALORI!$B$4)-(AM$31*VALORI!$B$4)-(AM$32*VALORI!$B$3)-(AM$33*VALORI!$B$5),0)</f>
        <v>0</v>
      </c>
      <c r="AN42" s="28">
        <f>IF(AN7&gt;0, AN7-(AN$30*VALORI!$B$4)-(AN$31*VALORI!$B$4)-(AN$32*VALORI!$B$3)-(AN$33*VALORI!$B$5),0)</f>
        <v>0</v>
      </c>
      <c r="AO42" s="28">
        <f>IF(AO7&gt;0, AO7-(AO$30*VALORI!$B$4)-(AO$31*VALORI!$B$4)-(AO$32*VALORI!$B$3)-(AO$33*VALORI!$B$5),0)</f>
        <v>0</v>
      </c>
    </row>
    <row r="43" spans="1:45" ht="15.75" x14ac:dyDescent="0.25">
      <c r="O43" s="25">
        <v>84000</v>
      </c>
      <c r="P43" s="25">
        <f t="shared" si="9"/>
        <v>92400</v>
      </c>
      <c r="Q43" s="25">
        <f t="shared" si="7"/>
        <v>96096</v>
      </c>
      <c r="R43" s="25">
        <f t="shared" si="8"/>
        <v>98978.880000000005</v>
      </c>
      <c r="W43" s="28">
        <f>IF(W8&gt;0, W8-(W$30*VALORI!$B$4)-(W$31*VALORI!$B$4)-(W$32*VALORI!$B$3)-(W$33*VALORI!$B$5),0)</f>
        <v>4698.7327999999998</v>
      </c>
      <c r="X43" s="28">
        <f>IF(X8&gt;0, X8-(X$30*VALORI!$B$4)-(X$31*VALORI!$B$4)-(X$32*VALORI!$B$3)-(X$33*VALORI!$B$5),0)</f>
        <v>16075.776000000002</v>
      </c>
      <c r="Y43" s="28">
        <f>IF(Y8&gt;0, Y8-(Y$30*VALORI!$B$4)-(Y$31*VALORI!$B$4)-(Y$32*VALORI!$B$3)-(Y$33*VALORI!$B$5),0)</f>
        <v>9008</v>
      </c>
      <c r="Z43" s="28">
        <f>IF(Z8&gt;0, Z8-(Z$30*VALORI!$B$4)-(Z$31*VALORI!$B$4)-(Z$32*VALORI!$B$3)-(Z$33*VALORI!$B$5),0)</f>
        <v>15508</v>
      </c>
      <c r="AA43" s="28">
        <f>IF(AA8&gt;0, AA8-(AA$30*VALORI!$B$4)-(AA$31*VALORI!$B$4)-(AA$32*VALORI!$B$3)-(AA$33*VALORI!$B$5),0)</f>
        <v>2924</v>
      </c>
      <c r="AB43" s="28">
        <f>IF(AB8&gt;0, AB8-(AB$30*VALORI!$B$4)-(AB$31*VALORI!$B$4)-(AB$32*VALORI!$B$3)-(AB$33*VALORI!$B$5),0)</f>
        <v>5397</v>
      </c>
      <c r="AC43" s="28">
        <f>IF(AC8&gt;0, AC8-(AC$30*VALORI!$B$4)-(AC$31*VALORI!$B$4)-(AC$32*VALORI!$B$3)-(AC$33*VALORI!$B$5),0)</f>
        <v>506</v>
      </c>
      <c r="AD43" s="28">
        <f>IF(AD8&gt;0, AD8-(AD$30*VALORI!$B$4)-(AD$31*VALORI!$B$4)-(AD$32*VALORI!$B$3)-(AD$33*VALORI!$B$5),0)</f>
        <v>5646</v>
      </c>
      <c r="AE43" s="28">
        <f>IF(AE8&gt;0, AE8-(AE$30*VALORI!$B$4)-(AE$31*VALORI!$B$4)-(AE$32*VALORI!$B$3)-(AE$33*VALORI!$B$5),0)</f>
        <v>932</v>
      </c>
      <c r="AF43" s="28">
        <f>IF(AF8&gt;0, AF8-(AF$30*VALORI!$B$4)-(AF$31*VALORI!$B$4)-(AF$32*VALORI!$B$3)-(AF$33*VALORI!$B$5),0)</f>
        <v>1677</v>
      </c>
      <c r="AG43" s="28">
        <f>IF(AG8&gt;0, AG8-(AG$30*VALORI!$B$4)-(AG$31*VALORI!$B$4)-(AG$32*VALORI!$B$3)-(AG$33*VALORI!$B$5),0)</f>
        <v>279</v>
      </c>
      <c r="AH43" s="28">
        <f>IF(AH8&gt;0, AH8-(AH$30*VALORI!$B$4)-(AH$31*VALORI!$B$4)-(AH$32*VALORI!$B$3)-(AH$33*VALORI!$B$5),0)</f>
        <v>3852</v>
      </c>
      <c r="AI43" s="28">
        <f>IF(AI8&gt;0, AI8-(AI$30*VALORI!$B$4)-(AI$31*VALORI!$B$4)-(AI$32*VALORI!$B$3)-(AI$33*VALORI!$B$5),0)</f>
        <v>2600</v>
      </c>
      <c r="AJ43" s="28">
        <f>IF(AJ8&gt;0, AJ8-(AJ$30*VALORI!$B$4)-(AJ$31*VALORI!$B$4)-(AJ$32*VALORI!$B$3)-(AJ$33*VALORI!$B$5),0)</f>
        <v>1951</v>
      </c>
      <c r="AK43" s="28">
        <f>IF(AK8&gt;0, AK8-(AK$30*VALORI!$B$4)-(AK$31*VALORI!$B$4)-(AK$32*VALORI!$B$3)-(AK$33*VALORI!$B$5),0)</f>
        <v>0</v>
      </c>
      <c r="AL43" s="28">
        <f>IF(AL8&gt;0, AL8-(AL$30*VALORI!$B$4)-(AL$31*VALORI!$B$4)-(AL$32*VALORI!$B$3)-(AL$33*VALORI!$B$5),0)</f>
        <v>0</v>
      </c>
      <c r="AM43" s="28">
        <f>IF(AM8&gt;0, AM8-(AM$30*VALORI!$B$4)-(AM$31*VALORI!$B$4)-(AM$32*VALORI!$B$3)-(AM$33*VALORI!$B$5),0)</f>
        <v>7358</v>
      </c>
      <c r="AN43" s="28">
        <f>IF(AN8&gt;0, AN8-(AN$30*VALORI!$B$4)-(AN$31*VALORI!$B$4)-(AN$32*VALORI!$B$3)-(AN$33*VALORI!$B$5),0)</f>
        <v>0</v>
      </c>
      <c r="AO43" s="28">
        <f>IF(AO8&gt;0, AO8-(AO$30*VALORI!$B$4)-(AO$31*VALORI!$B$4)-(AO$32*VALORI!$B$3)-(AO$33*VALORI!$B$5),0)</f>
        <v>-684</v>
      </c>
    </row>
    <row r="44" spans="1:45" ht="15.75" x14ac:dyDescent="0.25">
      <c r="O44" s="25">
        <v>86100</v>
      </c>
      <c r="P44" s="25">
        <f t="shared" si="9"/>
        <v>94710</v>
      </c>
      <c r="Q44" s="25">
        <f t="shared" si="7"/>
        <v>98498.4</v>
      </c>
      <c r="R44" s="25">
        <f t="shared" si="8"/>
        <v>101453.352</v>
      </c>
      <c r="W44" s="28">
        <f>IF(W9&gt;0, W9-(W$30*VALORI!$B$4)-(W$31*VALORI!$B$4)-(W$32*VALORI!$B$3)-(W$33*VALORI!$B$5),0)</f>
        <v>4847.2011199999997</v>
      </c>
      <c r="X44" s="28">
        <f>IF(X9&gt;0, X9-(X$30*VALORI!$B$4)-(X$31*VALORI!$B$4)-(X$32*VALORI!$B$3)-(X$33*VALORI!$B$5),0)</f>
        <v>16570.670400000003</v>
      </c>
      <c r="Y44" s="28">
        <f>IF(Y9&gt;0, Y9-(Y$30*VALORI!$B$4)-(Y$31*VALORI!$B$4)-(Y$32*VALORI!$B$3)-(Y$33*VALORI!$B$5),0)</f>
        <v>11008</v>
      </c>
      <c r="Z44" s="28">
        <f>IF(Z9&gt;0, Z9-(Z$30*VALORI!$B$4)-(Z$31*VALORI!$B$4)-(Z$32*VALORI!$B$3)-(Z$33*VALORI!$B$5),0)</f>
        <v>18808</v>
      </c>
      <c r="AA44" s="28">
        <f>IF(AA9&gt;0, AA9-(AA$30*VALORI!$B$4)-(AA$31*VALORI!$B$4)-(AA$32*VALORI!$B$3)-(AA$33*VALORI!$B$5),0)</f>
        <v>2924</v>
      </c>
      <c r="AB44" s="28">
        <f>IF(AB9&gt;0, AB9-(AB$30*VALORI!$B$4)-(AB$31*VALORI!$B$4)-(AB$32*VALORI!$B$3)-(AB$33*VALORI!$B$5),0)</f>
        <v>5397</v>
      </c>
      <c r="AC44" s="28">
        <f>IF(AC9&gt;0, AC9-(AC$30*VALORI!$B$4)-(AC$31*VALORI!$B$4)-(AC$32*VALORI!$B$3)-(AC$33*VALORI!$B$5),0)</f>
        <v>506</v>
      </c>
      <c r="AD44" s="28">
        <f>IF(AD9&gt;0, AD9-(AD$30*VALORI!$B$4)-(AD$31*VALORI!$B$4)-(AD$32*VALORI!$B$3)-(AD$33*VALORI!$B$5),0)</f>
        <v>5646</v>
      </c>
      <c r="AE44" s="28">
        <f>IF(AE9&gt;0, AE9-(AE$30*VALORI!$B$4)-(AE$31*VALORI!$B$4)-(AE$32*VALORI!$B$3)-(AE$33*VALORI!$B$5),0)</f>
        <v>932</v>
      </c>
      <c r="AF44" s="28">
        <f>IF(AF9&gt;0, AF9-(AF$30*VALORI!$B$4)-(AF$31*VALORI!$B$4)-(AF$32*VALORI!$B$3)-(AF$33*VALORI!$B$5),0)</f>
        <v>1677</v>
      </c>
      <c r="AG44" s="28">
        <f>IF(AG9&gt;0, AG9-(AG$30*VALORI!$B$4)-(AG$31*VALORI!$B$4)-(AG$32*VALORI!$B$3)-(AG$33*VALORI!$B$5),0)</f>
        <v>279</v>
      </c>
      <c r="AH44" s="28">
        <f>IF(AH9&gt;0, AH9-(AH$30*VALORI!$B$4)-(AH$31*VALORI!$B$4)-(AH$32*VALORI!$B$3)-(AH$33*VALORI!$B$5),0)</f>
        <v>3852</v>
      </c>
      <c r="AI44" s="28">
        <f>IF(AI9&gt;0, AI9-(AI$30*VALORI!$B$4)-(AI$31*VALORI!$B$4)-(AI$32*VALORI!$B$3)-(AI$33*VALORI!$B$5),0)</f>
        <v>2600</v>
      </c>
      <c r="AJ44" s="28">
        <f>IF(AJ9&gt;0, AJ9-(AJ$30*VALORI!$B$4)-(AJ$31*VALORI!$B$4)-(AJ$32*VALORI!$B$3)-(AJ$33*VALORI!$B$5),0)</f>
        <v>1951</v>
      </c>
      <c r="AK44" s="28">
        <f>IF(AK9&gt;0, AK9-(AK$30*VALORI!$B$4)-(AK$31*VALORI!$B$4)-(AK$32*VALORI!$B$3)-(AK$33*VALORI!$B$5),0)</f>
        <v>0</v>
      </c>
      <c r="AL44" s="28">
        <f>IF(AL9&gt;0, AL9-(AL$30*VALORI!$B$4)-(AL$31*VALORI!$B$4)-(AL$32*VALORI!$B$3)-(AL$33*VALORI!$B$5),0)</f>
        <v>0</v>
      </c>
      <c r="AM44" s="28">
        <f>IF(AM9&gt;0, AM9-(AM$30*VALORI!$B$4)-(AM$31*VALORI!$B$4)-(AM$32*VALORI!$B$3)-(AM$33*VALORI!$B$5),0)</f>
        <v>7358</v>
      </c>
      <c r="AN44" s="28">
        <f>IF(AN9&gt;0, AN9-(AN$30*VALORI!$B$4)-(AN$31*VALORI!$B$4)-(AN$32*VALORI!$B$3)-(AN$33*VALORI!$B$5),0)</f>
        <v>0</v>
      </c>
      <c r="AO44" s="28">
        <f>IF(AO9&gt;0, AO9-(AO$30*VALORI!$B$4)-(AO$31*VALORI!$B$4)-(AO$32*VALORI!$B$3)-(AO$33*VALORI!$B$5),0)</f>
        <v>-684</v>
      </c>
    </row>
    <row r="45" spans="1:45" ht="15.75" x14ac:dyDescent="0.25">
      <c r="O45" s="25">
        <v>89250</v>
      </c>
      <c r="P45" s="25">
        <f t="shared" si="9"/>
        <v>98175</v>
      </c>
      <c r="Q45" s="25">
        <f t="shared" si="7"/>
        <v>102102</v>
      </c>
      <c r="R45" s="25">
        <f t="shared" si="8"/>
        <v>105165.06</v>
      </c>
      <c r="W45" s="28">
        <f>IF(W10&gt;0, W10-(W$30*VALORI!$B$4)-(W$31*VALORI!$B$4)-(W$32*VALORI!$B$3)-(W$33*VALORI!$B$5),0)</f>
        <v>5069.9035999999996</v>
      </c>
      <c r="X45" s="28">
        <f>IF(X10&gt;0, X10-(X$30*VALORI!$B$4)-(X$31*VALORI!$B$4)-(X$32*VALORI!$B$3)-(X$33*VALORI!$B$5),0)</f>
        <v>17313.012000000002</v>
      </c>
      <c r="Y45" s="28">
        <f>IF(Y10&gt;0, Y10-(Y$30*VALORI!$B$4)-(Y$31*VALORI!$B$4)-(Y$32*VALORI!$B$3)-(Y$33*VALORI!$B$5),0)</f>
        <v>11008</v>
      </c>
      <c r="Z45" s="28">
        <f>IF(Z10&gt;0, Z10-(Z$30*VALORI!$B$4)-(Z$31*VALORI!$B$4)-(Z$32*VALORI!$B$3)-(Z$33*VALORI!$B$5),0)</f>
        <v>18808</v>
      </c>
      <c r="AA45" s="28">
        <f>IF(AA10&gt;0, AA10-(AA$30*VALORI!$B$4)-(AA$31*VALORI!$B$4)-(AA$32*VALORI!$B$3)-(AA$33*VALORI!$B$5),0)</f>
        <v>2924</v>
      </c>
      <c r="AB45" s="28">
        <f>IF(AB10&gt;0, AB10-(AB$30*VALORI!$B$4)-(AB$31*VALORI!$B$4)-(AB$32*VALORI!$B$3)-(AB$33*VALORI!$B$5),0)</f>
        <v>5397</v>
      </c>
      <c r="AC45" s="28">
        <f>IF(AC10&gt;0, AC10-(AC$30*VALORI!$B$4)-(AC$31*VALORI!$B$4)-(AC$32*VALORI!$B$3)-(AC$33*VALORI!$B$5),0)</f>
        <v>506</v>
      </c>
      <c r="AD45" s="28">
        <f>IF(AD10&gt;0, AD10-(AD$30*VALORI!$B$4)-(AD$31*VALORI!$B$4)-(AD$32*VALORI!$B$3)-(AD$33*VALORI!$B$5),0)</f>
        <v>5646</v>
      </c>
      <c r="AE45" s="28">
        <f>IF(AE10&gt;0, AE10-(AE$30*VALORI!$B$4)-(AE$31*VALORI!$B$4)-(AE$32*VALORI!$B$3)-(AE$33*VALORI!$B$5),0)</f>
        <v>932</v>
      </c>
      <c r="AF45" s="28">
        <f>IF(AF10&gt;0, AF10-(AF$30*VALORI!$B$4)-(AF$31*VALORI!$B$4)-(AF$32*VALORI!$B$3)-(AF$33*VALORI!$B$5),0)</f>
        <v>1677</v>
      </c>
      <c r="AG45" s="28">
        <f>IF(AG10&gt;0, AG10-(AG$30*VALORI!$B$4)-(AG$31*VALORI!$B$4)-(AG$32*VALORI!$B$3)-(AG$33*VALORI!$B$5),0)</f>
        <v>279</v>
      </c>
      <c r="AH45" s="28">
        <f>IF(AH10&gt;0, AH10-(AH$30*VALORI!$B$4)-(AH$31*VALORI!$B$4)-(AH$32*VALORI!$B$3)-(AH$33*VALORI!$B$5),0)</f>
        <v>7852</v>
      </c>
      <c r="AI45" s="28">
        <f>IF(AI10&gt;0, AI10-(AI$30*VALORI!$B$4)-(AI$31*VALORI!$B$4)-(AI$32*VALORI!$B$3)-(AI$33*VALORI!$B$5),0)</f>
        <v>2600</v>
      </c>
      <c r="AJ45" s="28">
        <f>IF(AJ10&gt;0, AJ10-(AJ$30*VALORI!$B$4)-(AJ$31*VALORI!$B$4)-(AJ$32*VALORI!$B$3)-(AJ$33*VALORI!$B$5),0)</f>
        <v>1951</v>
      </c>
      <c r="AK45" s="28">
        <f>IF(AK10&gt;0, AK10-(AK$30*VALORI!$B$4)-(AK$31*VALORI!$B$4)-(AK$32*VALORI!$B$3)-(AK$33*VALORI!$B$5),0)</f>
        <v>0</v>
      </c>
      <c r="AL45" s="28">
        <f>IF(AL10&gt;0, AL10-(AL$30*VALORI!$B$4)-(AL$31*VALORI!$B$4)-(AL$32*VALORI!$B$3)-(AL$33*VALORI!$B$5),0)</f>
        <v>0</v>
      </c>
      <c r="AM45" s="28">
        <f>IF(AM10&gt;0, AM10-(AM$30*VALORI!$B$4)-(AM$31*VALORI!$B$4)-(AM$32*VALORI!$B$3)-(AM$33*VALORI!$B$5),0)</f>
        <v>7358</v>
      </c>
      <c r="AN45" s="28">
        <f>IF(AN10&gt;0, AN10-(AN$30*VALORI!$B$4)-(AN$31*VALORI!$B$4)-(AN$32*VALORI!$B$3)-(AN$33*VALORI!$B$5),0)</f>
        <v>0</v>
      </c>
      <c r="AO45" s="28">
        <f>IF(AO10&gt;0, AO10-(AO$30*VALORI!$B$4)-(AO$31*VALORI!$B$4)-(AO$32*VALORI!$B$3)-(AO$33*VALORI!$B$5),0)</f>
        <v>-684</v>
      </c>
    </row>
    <row r="46" spans="1:45" ht="15.75" x14ac:dyDescent="0.25">
      <c r="O46" s="25">
        <v>91350</v>
      </c>
      <c r="P46" s="25">
        <f t="shared" si="9"/>
        <v>100485</v>
      </c>
      <c r="Q46" s="25">
        <f t="shared" si="7"/>
        <v>104504.4</v>
      </c>
      <c r="R46" s="25">
        <f t="shared" si="8"/>
        <v>107639.53199999999</v>
      </c>
      <c r="W46" s="28">
        <f>IF(W11&gt;0, W11-(W$30*VALORI!$B$4)-(W$31*VALORI!$B$4)-(W$32*VALORI!$B$3)-(W$33*VALORI!$B$5),0)</f>
        <v>5218.3719199999996</v>
      </c>
      <c r="X46" s="28">
        <f>IF(X11&gt;0, X11-(X$30*VALORI!$B$4)-(X$31*VALORI!$B$4)-(X$32*VALORI!$B$3)-(X$33*VALORI!$B$5),0)</f>
        <v>17807.9064</v>
      </c>
      <c r="Y46" s="28">
        <f>IF(Y11&gt;0, Y11-(Y$30*VALORI!$B$4)-(Y$31*VALORI!$B$4)-(Y$32*VALORI!$B$3)-(Y$33*VALORI!$B$5),0)</f>
        <v>13008</v>
      </c>
      <c r="Z46" s="28">
        <f>IF(Z11&gt;0, Z11-(Z$30*VALORI!$B$4)-(Z$31*VALORI!$B$4)-(Z$32*VALORI!$B$3)-(Z$33*VALORI!$B$5),0)</f>
        <v>22108</v>
      </c>
      <c r="AA46" s="28">
        <f>IF(AA11&gt;0, AA11-(AA$30*VALORI!$B$4)-(AA$31*VALORI!$B$4)-(AA$32*VALORI!$B$3)-(AA$33*VALORI!$B$5),0)</f>
        <v>2924</v>
      </c>
      <c r="AB46" s="28">
        <f>IF(AB11&gt;0, AB11-(AB$30*VALORI!$B$4)-(AB$31*VALORI!$B$4)-(AB$32*VALORI!$B$3)-(AB$33*VALORI!$B$5),0)</f>
        <v>5397</v>
      </c>
      <c r="AC46" s="28">
        <f>IF(AC11&gt;0, AC11-(AC$30*VALORI!$B$4)-(AC$31*VALORI!$B$4)-(AC$32*VALORI!$B$3)-(AC$33*VALORI!$B$5),0)</f>
        <v>506</v>
      </c>
      <c r="AD46" s="28">
        <f>IF(AD11&gt;0, AD11-(AD$30*VALORI!$B$4)-(AD$31*VALORI!$B$4)-(AD$32*VALORI!$B$3)-(AD$33*VALORI!$B$5),0)</f>
        <v>5646</v>
      </c>
      <c r="AE46" s="28">
        <f>IF(AE11&gt;0, AE11-(AE$30*VALORI!$B$4)-(AE$31*VALORI!$B$4)-(AE$32*VALORI!$B$3)-(AE$33*VALORI!$B$5),0)</f>
        <v>932</v>
      </c>
      <c r="AF46" s="28">
        <f>IF(AF11&gt;0, AF11-(AF$30*VALORI!$B$4)-(AF$31*VALORI!$B$4)-(AF$32*VALORI!$B$3)-(AF$33*VALORI!$B$5),0)</f>
        <v>1677</v>
      </c>
      <c r="AG46" s="28">
        <f>IF(AG11&gt;0, AG11-(AG$30*VALORI!$B$4)-(AG$31*VALORI!$B$4)-(AG$32*VALORI!$B$3)-(AG$33*VALORI!$B$5),0)</f>
        <v>279</v>
      </c>
      <c r="AH46" s="28">
        <f>IF(AH11&gt;0, AH11-(AH$30*VALORI!$B$4)-(AH$31*VALORI!$B$4)-(AH$32*VALORI!$B$3)-(AH$33*VALORI!$B$5),0)</f>
        <v>7852</v>
      </c>
      <c r="AI46" s="28">
        <f>IF(AI11&gt;0, AI11-(AI$30*VALORI!$B$4)-(AI$31*VALORI!$B$4)-(AI$32*VALORI!$B$3)-(AI$33*VALORI!$B$5),0)</f>
        <v>2600</v>
      </c>
      <c r="AJ46" s="28">
        <f>IF(AJ11&gt;0, AJ11-(AJ$30*VALORI!$B$4)-(AJ$31*VALORI!$B$4)-(AJ$32*VALORI!$B$3)-(AJ$33*VALORI!$B$5),0)</f>
        <v>1951</v>
      </c>
      <c r="AK46" s="28">
        <f>IF(AK11&gt;0, AK11-(AK$30*VALORI!$B$4)-(AK$31*VALORI!$B$4)-(AK$32*VALORI!$B$3)-(AK$33*VALORI!$B$5),0)</f>
        <v>0</v>
      </c>
      <c r="AL46" s="28">
        <f>IF(AL11&gt;0, AL11-(AL$30*VALORI!$B$4)-(AL$31*VALORI!$B$4)-(AL$32*VALORI!$B$3)-(AL$33*VALORI!$B$5),0)</f>
        <v>0</v>
      </c>
      <c r="AM46" s="28">
        <f>IF(AM11&gt;0, AM11-(AM$30*VALORI!$B$4)-(AM$31*VALORI!$B$4)-(AM$32*VALORI!$B$3)-(AM$33*VALORI!$B$5),0)</f>
        <v>7358</v>
      </c>
      <c r="AN46" s="28">
        <f>IF(AN11&gt;0, AN11-(AN$30*VALORI!$B$4)-(AN$31*VALORI!$B$4)-(AN$32*VALORI!$B$3)-(AN$33*VALORI!$B$5),0)</f>
        <v>0</v>
      </c>
      <c r="AO46" s="28">
        <f>IF(AO11&gt;0, AO11-(AO$30*VALORI!$B$4)-(AO$31*VALORI!$B$4)-(AO$32*VALORI!$B$3)-(AO$33*VALORI!$B$5),0)</f>
        <v>-684</v>
      </c>
    </row>
    <row r="47" spans="1:45" ht="15.75" x14ac:dyDescent="0.25">
      <c r="O47" s="25">
        <v>99750</v>
      </c>
      <c r="P47" s="25">
        <f t="shared" si="9"/>
        <v>109725</v>
      </c>
      <c r="Q47" s="25">
        <f>(P47*4%)+P47</f>
        <v>114114</v>
      </c>
      <c r="R47" s="25">
        <f>(Q47*3%)+Q47</f>
        <v>117537.42</v>
      </c>
      <c r="W47" s="28">
        <f>IF(W12&gt;0, W12-(W$30*VALORI!$B$4)-(W$31*VALORI!$B$4)-(W$32*VALORI!$B$3)-(W$33*VALORI!$B$5),0)</f>
        <v>5812.2451999999994</v>
      </c>
      <c r="X47" s="28">
        <f>IF(X12&gt;0, X12-(X$30*VALORI!$B$4)-(X$31*VALORI!$B$4)-(X$32*VALORI!$B$3)-(X$33*VALORI!$B$5),0)</f>
        <v>19787.484</v>
      </c>
      <c r="Y47" s="28">
        <f>IF(Y12&gt;0, Y12-(Y$30*VALORI!$B$4)-(Y$31*VALORI!$B$4)-(Y$32*VALORI!$B$3)-(Y$33*VALORI!$B$5),0)</f>
        <v>14008</v>
      </c>
      <c r="Z47" s="28">
        <f>IF(Z12&gt;0, Z12-(Z$30*VALORI!$B$4)-(Z$31*VALORI!$B$4)-(Z$32*VALORI!$B$3)-(Z$33*VALORI!$B$5),0)</f>
        <v>23758</v>
      </c>
      <c r="AA47" s="28">
        <f>IF(AA12&gt;0, AA12-(AA$30*VALORI!$B$4)-(AA$31*VALORI!$B$4)-(AA$32*VALORI!$B$3)-(AA$33*VALORI!$B$5),0)</f>
        <v>2924</v>
      </c>
      <c r="AB47" s="28">
        <f>IF(AB12&gt;0, AB12-(AB$30*VALORI!$B$4)-(AB$31*VALORI!$B$4)-(AB$32*VALORI!$B$3)-(AB$33*VALORI!$B$5),0)</f>
        <v>5397</v>
      </c>
      <c r="AC47" s="28">
        <f>IF(AC12&gt;0, AC12-(AC$30*VALORI!$B$4)-(AC$31*VALORI!$B$4)-(AC$32*VALORI!$B$3)-(AC$33*VALORI!$B$5),0)</f>
        <v>506</v>
      </c>
      <c r="AD47" s="28">
        <f>IF(AD12&gt;0, AD12-(AD$30*VALORI!$B$4)-(AD$31*VALORI!$B$4)-(AD$32*VALORI!$B$3)-(AD$33*VALORI!$B$5),0)</f>
        <v>5646</v>
      </c>
      <c r="AE47" s="28">
        <f>IF(AE12&gt;0, AE12-(AE$30*VALORI!$B$4)-(AE$31*VALORI!$B$4)-(AE$32*VALORI!$B$3)-(AE$33*VALORI!$B$5),0)</f>
        <v>932</v>
      </c>
      <c r="AF47" s="28">
        <f>IF(AF12&gt;0, AF12-(AF$30*VALORI!$B$4)-(AF$31*VALORI!$B$4)-(AF$32*VALORI!$B$3)-(AF$33*VALORI!$B$5),0)</f>
        <v>1677</v>
      </c>
      <c r="AG47" s="28">
        <f>IF(AG12&gt;0, AG12-(AG$30*VALORI!$B$4)-(AG$31*VALORI!$B$4)-(AG$32*VALORI!$B$3)-(AG$33*VALORI!$B$5),0)</f>
        <v>279</v>
      </c>
      <c r="AH47" s="28">
        <f>IF(AH12&gt;0, AH12-(AH$30*VALORI!$B$4)-(AH$31*VALORI!$B$4)-(AH$32*VALORI!$B$3)-(AH$33*VALORI!$B$5),0)</f>
        <v>9852</v>
      </c>
      <c r="AI47" s="28">
        <f>IF(AI12&gt;0, AI12-(AI$30*VALORI!$B$4)-(AI$31*VALORI!$B$4)-(AI$32*VALORI!$B$3)-(AI$33*VALORI!$B$5),0)</f>
        <v>6800</v>
      </c>
      <c r="AJ47" s="28">
        <f>IF(AJ12&gt;0, AJ12-(AJ$30*VALORI!$B$4)-(AJ$31*VALORI!$B$4)-(AJ$32*VALORI!$B$3)-(AJ$33*VALORI!$B$5),0)</f>
        <v>1951</v>
      </c>
      <c r="AK47" s="28">
        <f>IF(AK12&gt;0, AK12-(AK$30*VALORI!$B$4)-(AK$31*VALORI!$B$4)-(AK$32*VALORI!$B$3)-(AK$33*VALORI!$B$5),0)</f>
        <v>0</v>
      </c>
      <c r="AL47" s="28">
        <f>IF(AL12&gt;0, AL12-(AL$30*VALORI!$B$4)-(AL$31*VALORI!$B$4)-(AL$32*VALORI!$B$3)-(AL$33*VALORI!$B$5),0)</f>
        <v>0</v>
      </c>
      <c r="AM47" s="28">
        <f>IF(AM12&gt;0, AM12-(AM$30*VALORI!$B$4)-(AM$31*VALORI!$B$4)-(AM$32*VALORI!$B$3)-(AM$33*VALORI!$B$5),0)</f>
        <v>7358</v>
      </c>
      <c r="AN47" s="28">
        <f>IF(AN12&gt;0, AN12-(AN$30*VALORI!$B$4)-(AN$31*VALORI!$B$4)-(AN$32*VALORI!$B$3)-(AN$33*VALORI!$B$5),0)</f>
        <v>0</v>
      </c>
      <c r="AO47" s="28">
        <f>IF(AO12&gt;0, AO12-(AO$30*VALORI!$B$4)-(AO$31*VALORI!$B$4)-(AO$32*VALORI!$B$3)-(AO$33*VALORI!$B$5),0)</f>
        <v>116</v>
      </c>
    </row>
    <row r="48" spans="1:45" ht="15.75" x14ac:dyDescent="0.25">
      <c r="O48" s="25">
        <v>116550</v>
      </c>
      <c r="P48" s="25">
        <f t="shared" si="9"/>
        <v>128205</v>
      </c>
      <c r="Q48" s="25">
        <f t="shared" si="7"/>
        <v>133333.20000000001</v>
      </c>
      <c r="R48" s="25">
        <f t="shared" si="8"/>
        <v>137333.19600000003</v>
      </c>
      <c r="W48" s="28">
        <f>IF(W13&gt;0, W13-(W$30*VALORI!$B$4)-(W$31*VALORI!$B$4)-(W$32*VALORI!$B$3)-(W$33*VALORI!$B$5),0)</f>
        <v>6999.9917600000008</v>
      </c>
      <c r="X48" s="28">
        <f>IF(X13&gt;0, X13-(X$30*VALORI!$B$4)-(X$31*VALORI!$B$4)-(X$32*VALORI!$B$3)-(X$33*VALORI!$B$5),0)</f>
        <v>23746.639200000005</v>
      </c>
      <c r="Y48" s="28">
        <f>IF(Y13&gt;0, Y13-(Y$30*VALORI!$B$4)-(Y$31*VALORI!$B$4)-(Y$32*VALORI!$B$3)-(Y$33*VALORI!$B$5),0)</f>
        <v>14008</v>
      </c>
      <c r="Z48" s="28">
        <f>IF(Z13&gt;0, Z13-(Z$30*VALORI!$B$4)-(Z$31*VALORI!$B$4)-(Z$32*VALORI!$B$3)-(Z$33*VALORI!$B$5),0)</f>
        <v>23758</v>
      </c>
      <c r="AA48" s="28">
        <f>IF(AA13&gt;0, AA13-(AA$30*VALORI!$B$4)-(AA$31*VALORI!$B$4)-(AA$32*VALORI!$B$3)-(AA$33*VALORI!$B$5),0)</f>
        <v>2924</v>
      </c>
      <c r="AB48" s="28">
        <f>IF(AB13&gt;0, AB13-(AB$30*VALORI!$B$4)-(AB$31*VALORI!$B$4)-(AB$32*VALORI!$B$3)-(AB$33*VALORI!$B$5),0)</f>
        <v>5397</v>
      </c>
      <c r="AC48" s="28">
        <f>IF(AC13&gt;0, AC13-(AC$30*VALORI!$B$4)-(AC$31*VALORI!$B$4)-(AC$32*VALORI!$B$3)-(AC$33*VALORI!$B$5),0)</f>
        <v>506</v>
      </c>
      <c r="AD48" s="28">
        <f>IF(AD13&gt;0, AD13-(AD$30*VALORI!$B$4)-(AD$31*VALORI!$B$4)-(AD$32*VALORI!$B$3)-(AD$33*VALORI!$B$5),0)</f>
        <v>5646</v>
      </c>
      <c r="AE48" s="28">
        <f>IF(AE13&gt;0, AE13-(AE$30*VALORI!$B$4)-(AE$31*VALORI!$B$4)-(AE$32*VALORI!$B$3)-(AE$33*VALORI!$B$5),0)</f>
        <v>932</v>
      </c>
      <c r="AF48" s="28">
        <f>IF(AF13&gt;0, AF13-(AF$30*VALORI!$B$4)-(AF$31*VALORI!$B$4)-(AF$32*VALORI!$B$3)-(AF$33*VALORI!$B$5),0)</f>
        <v>1677</v>
      </c>
      <c r="AG48" s="28">
        <f>IF(AG13&gt;0, AG13-(AG$30*VALORI!$B$4)-(AG$31*VALORI!$B$4)-(AG$32*VALORI!$B$3)-(AG$33*VALORI!$B$5),0)</f>
        <v>279</v>
      </c>
      <c r="AH48" s="28">
        <f>IF(AH13&gt;0, AH13-(AH$30*VALORI!$B$4)-(AH$31*VALORI!$B$4)-(AH$32*VALORI!$B$3)-(AH$33*VALORI!$B$5),0)</f>
        <v>9852</v>
      </c>
      <c r="AI48" s="28">
        <f>IF(AI13&gt;0, AI13-(AI$30*VALORI!$B$4)-(AI$31*VALORI!$B$4)-(AI$32*VALORI!$B$3)-(AI$33*VALORI!$B$5),0)</f>
        <v>6800</v>
      </c>
      <c r="AJ48" s="28">
        <f>IF(AJ13&gt;0, AJ13-(AJ$30*VALORI!$B$4)-(AJ$31*VALORI!$B$4)-(AJ$32*VALORI!$B$3)-(AJ$33*VALORI!$B$5),0)</f>
        <v>1951</v>
      </c>
      <c r="AK48" s="28">
        <f>IF(AK13&gt;0, AK13-(AK$30*VALORI!$B$4)-(AK$31*VALORI!$B$4)-(AK$32*VALORI!$B$3)-(AK$33*VALORI!$B$5),0)</f>
        <v>0</v>
      </c>
      <c r="AL48" s="28">
        <f>IF(AL13&gt;0, AL13-(AL$30*VALORI!$B$4)-(AL$31*VALORI!$B$4)-(AL$32*VALORI!$B$3)-(AL$33*VALORI!$B$5),0)</f>
        <v>0</v>
      </c>
      <c r="AM48" s="28">
        <f>IF(AM13&gt;0, AM13-(AM$30*VALORI!$B$4)-(AM$31*VALORI!$B$4)-(AM$32*VALORI!$B$3)-(AM$33*VALORI!$B$5),0)</f>
        <v>7358</v>
      </c>
      <c r="AN48" s="28">
        <f>IF(AN13&gt;0, AN13-(AN$30*VALORI!$B$4)-(AN$31*VALORI!$B$4)-(AN$32*VALORI!$B$3)-(AN$33*VALORI!$B$5),0)</f>
        <v>0</v>
      </c>
      <c r="AO48" s="28">
        <f>IF(AO13&gt;0, AO13-(AO$30*VALORI!$B$4)-(AO$31*VALORI!$B$4)-(AO$32*VALORI!$B$3)-(AO$33*VALORI!$B$5),0)</f>
        <v>116</v>
      </c>
    </row>
    <row r="49" spans="15:41" ht="15.75" x14ac:dyDescent="0.25">
      <c r="O49" s="25">
        <v>120750</v>
      </c>
      <c r="P49" s="25">
        <f t="shared" si="9"/>
        <v>132825</v>
      </c>
      <c r="Q49" s="25">
        <f t="shared" si="7"/>
        <v>138138</v>
      </c>
      <c r="R49" s="25">
        <f t="shared" si="8"/>
        <v>142282.14000000001</v>
      </c>
      <c r="W49" s="28">
        <f>IF(W14&gt;0, W14-(W$30*VALORI!$B$4)-(W$31*VALORI!$B$4)-(W$32*VALORI!$B$3)-(W$33*VALORI!$B$5),0)</f>
        <v>7296.9284000000007</v>
      </c>
      <c r="X49" s="28">
        <f>IF(X14&gt;0, X14-(X$30*VALORI!$B$4)-(X$31*VALORI!$B$4)-(X$32*VALORI!$B$3)-(X$33*VALORI!$B$5),0)</f>
        <v>24736.428000000004</v>
      </c>
      <c r="Y49" s="28">
        <f>IF(Y14&gt;0, Y14-(Y$30*VALORI!$B$4)-(Y$31*VALORI!$B$4)-(Y$32*VALORI!$B$3)-(Y$33*VALORI!$B$5),0)</f>
        <v>17008</v>
      </c>
      <c r="Z49" s="28">
        <f>IF(Z14&gt;0, Z14-(Z$30*VALORI!$B$4)-(Z$31*VALORI!$B$4)-(Z$32*VALORI!$B$3)-(Z$33*VALORI!$B$5),0)</f>
        <v>28708</v>
      </c>
      <c r="AA49" s="28">
        <f>IF(AA14&gt;0, AA14-(AA$30*VALORI!$B$4)-(AA$31*VALORI!$B$4)-(AA$32*VALORI!$B$3)-(AA$33*VALORI!$B$5),0)</f>
        <v>2924</v>
      </c>
      <c r="AB49" s="28">
        <f>IF(AB14&gt;0, AB14-(AB$30*VALORI!$B$4)-(AB$31*VALORI!$B$4)-(AB$32*VALORI!$B$3)-(AB$33*VALORI!$B$5),0)</f>
        <v>5397</v>
      </c>
      <c r="AC49" s="28">
        <f>IF(AC14&gt;0, AC14-(AC$30*VALORI!$B$4)-(AC$31*VALORI!$B$4)-(AC$32*VALORI!$B$3)-(AC$33*VALORI!$B$5),0)</f>
        <v>506</v>
      </c>
      <c r="AD49" s="28">
        <f>IF(AD14&gt;0, AD14-(AD$30*VALORI!$B$4)-(AD$31*VALORI!$B$4)-(AD$32*VALORI!$B$3)-(AD$33*VALORI!$B$5),0)</f>
        <v>5646</v>
      </c>
      <c r="AE49" s="28">
        <f>IF(AE14&gt;0, AE14-(AE$30*VALORI!$B$4)-(AE$31*VALORI!$B$4)-(AE$32*VALORI!$B$3)-(AE$33*VALORI!$B$5),0)</f>
        <v>932</v>
      </c>
      <c r="AF49" s="28">
        <f>IF(AF14&gt;0, AF14-(AF$30*VALORI!$B$4)-(AF$31*VALORI!$B$4)-(AF$32*VALORI!$B$3)-(AF$33*VALORI!$B$5),0)</f>
        <v>1677</v>
      </c>
      <c r="AG49" s="28">
        <f>IF(AG14&gt;0, AG14-(AG$30*VALORI!$B$4)-(AG$31*VALORI!$B$4)-(AG$32*VALORI!$B$3)-(AG$33*VALORI!$B$5),0)</f>
        <v>279</v>
      </c>
      <c r="AH49" s="28">
        <f>IF(AH14&gt;0, AH14-(AH$30*VALORI!$B$4)-(AH$31*VALORI!$B$4)-(AH$32*VALORI!$B$3)-(AH$33*VALORI!$B$5),0)</f>
        <v>11852</v>
      </c>
      <c r="AI49" s="28">
        <f>IF(AI14&gt;0, AI14-(AI$30*VALORI!$B$4)-(AI$31*VALORI!$B$4)-(AI$32*VALORI!$B$3)-(AI$33*VALORI!$B$5),0)</f>
        <v>6800</v>
      </c>
      <c r="AJ49" s="28">
        <f>IF(AJ14&gt;0, AJ14-(AJ$30*VALORI!$B$4)-(AJ$31*VALORI!$B$4)-(AJ$32*VALORI!$B$3)-(AJ$33*VALORI!$B$5),0)</f>
        <v>1951</v>
      </c>
      <c r="AK49" s="28">
        <f>IF(AK14&gt;0, AK14-(AK$30*VALORI!$B$4)-(AK$31*VALORI!$B$4)-(AK$32*VALORI!$B$3)-(AK$33*VALORI!$B$5),0)</f>
        <v>0</v>
      </c>
      <c r="AL49" s="28">
        <f>IF(AL14&gt;0, AL14-(AL$30*VALORI!$B$4)-(AL$31*VALORI!$B$4)-(AL$32*VALORI!$B$3)-(AL$33*VALORI!$B$5),0)</f>
        <v>0</v>
      </c>
      <c r="AM49" s="28">
        <f>IF(AM14&gt;0, AM14-(AM$30*VALORI!$B$4)-(AM$31*VALORI!$B$4)-(AM$32*VALORI!$B$3)-(AM$33*VALORI!$B$5),0)</f>
        <v>7358</v>
      </c>
      <c r="AN49" s="28">
        <f>IF(AN14&gt;0, AN14-(AN$30*VALORI!$B$4)-(AN$31*VALORI!$B$4)-(AN$32*VALORI!$B$3)-(AN$33*VALORI!$B$5),0)</f>
        <v>0</v>
      </c>
      <c r="AO49" s="28">
        <f>IF(AO14&gt;0, AO14-(AO$30*VALORI!$B$4)-(AO$31*VALORI!$B$4)-(AO$32*VALORI!$B$3)-(AO$33*VALORI!$B$5),0)</f>
        <v>116</v>
      </c>
    </row>
    <row r="50" spans="15:41" ht="15.75" x14ac:dyDescent="0.25">
      <c r="W50" s="28">
        <f>IF(W15&gt;0, W15-(W$30*VALORI!$B$4)-(W$31*VALORI!$B$4)-(W$32*VALORI!$B$3)-(W$33*VALORI!$B$5),0)</f>
        <v>0</v>
      </c>
      <c r="X50" s="28">
        <f>IF(X15&gt;0, X15-(X$30*VALORI!$B$4)-(X$31*VALORI!$B$4)-(X$32*VALORI!$B$3)-(X$33*VALORI!$B$5),0)</f>
        <v>0</v>
      </c>
      <c r="Y50" s="28">
        <f>IF(Y15&gt;0, Y15-(Y$30*VALORI!$B$4)-(Y$31*VALORI!$B$4)-(Y$32*VALORI!$B$3)-(Y$33*VALORI!$B$5),0)</f>
        <v>0</v>
      </c>
      <c r="Z50" s="28">
        <f>IF(Z15&gt;0, Z15-(Z$30*VALORI!$B$4)-(Z$31*VALORI!$B$4)-(Z$32*VALORI!$B$3)-(Z$33*VALORI!$B$5),0)</f>
        <v>0</v>
      </c>
      <c r="AA50" s="28">
        <f>IF(AA15&gt;0, AA15-(AA$30*VALORI!$B$4)-(AA$31*VALORI!$B$4)-(AA$32*VALORI!$B$3)-(AA$33*VALORI!$B$5),0)</f>
        <v>0</v>
      </c>
      <c r="AB50" s="28">
        <f>IF(AB15&gt;0, AB15-(AB$30*VALORI!$B$4)-(AB$31*VALORI!$B$4)-(AB$32*VALORI!$B$3)-(AB$33*VALORI!$B$5),0)</f>
        <v>0</v>
      </c>
      <c r="AC50" s="28">
        <f>IF(AC15&gt;0, AC15-(AC$30*VALORI!$B$4)-(AC$31*VALORI!$B$4)-(AC$32*VALORI!$B$3)-(AC$33*VALORI!$B$5),0)</f>
        <v>0</v>
      </c>
      <c r="AD50" s="28">
        <f>IF(AD15&gt;0, AD15-(AD$30*VALORI!$B$4)-(AD$31*VALORI!$B$4)-(AD$32*VALORI!$B$3)-(AD$33*VALORI!$B$5),0)</f>
        <v>0</v>
      </c>
      <c r="AE50" s="28">
        <f>IF(AE15&gt;0, AE15-(AE$30*VALORI!$B$4)-(AE$31*VALORI!$B$4)-(AE$32*VALORI!$B$3)-(AE$33*VALORI!$B$5),0)</f>
        <v>0</v>
      </c>
      <c r="AF50" s="28">
        <f>IF(AF15&gt;0, AF15-(AF$30*VALORI!$B$4)-(AF$31*VALORI!$B$4)-(AF$32*VALORI!$B$3)-(AF$33*VALORI!$B$5),0)</f>
        <v>0</v>
      </c>
      <c r="AG50" s="28">
        <f>IF(AG15&gt;0, AG15-(AG$30*VALORI!$B$4)-(AG$31*VALORI!$B$4)-(AG$32*VALORI!$B$3)-(AG$33*VALORI!$B$5),0)</f>
        <v>0</v>
      </c>
      <c r="AH50" s="28">
        <f>IF(AH15&gt;0, AH15-(AH$30*VALORI!$B$4)-(AH$31*VALORI!$B$4)-(AH$32*VALORI!$B$3)-(AH$33*VALORI!$B$5),0)</f>
        <v>0</v>
      </c>
      <c r="AI50" s="28">
        <f>IF(AI15&gt;0, AI15-(AI$30*VALORI!$B$4)-(AI$31*VALORI!$B$4)-(AI$32*VALORI!$B$3)-(AI$33*VALORI!$B$5),0)</f>
        <v>0</v>
      </c>
      <c r="AJ50" s="28">
        <f>IF(AJ15&gt;0, AJ15-(AJ$30*VALORI!$B$4)-(AJ$31*VALORI!$B$4)-(AJ$32*VALORI!$B$3)-(AJ$33*VALORI!$B$5),0)</f>
        <v>0</v>
      </c>
      <c r="AK50" s="28">
        <f>IF(AK15&gt;0, AK15-(AK$30*VALORI!$B$4)-(AK$31*VALORI!$B$4)-(AK$32*VALORI!$B$3)-(AK$33*VALORI!$B$5),0)</f>
        <v>0</v>
      </c>
      <c r="AL50" s="28">
        <f>IF(AL15&gt;0, AL15-(AL$30*VALORI!$B$4)-(AL$31*VALORI!$B$4)-(AL$32*VALORI!$B$3)-(AL$33*VALORI!$B$5),0)</f>
        <v>0</v>
      </c>
      <c r="AM50" s="28">
        <f>IF(AM15&gt;0, AM15-(AM$30*VALORI!$B$4)-(AM$31*VALORI!$B$4)-(AM$32*VALORI!$B$3)-(AM$33*VALORI!$B$5),0)</f>
        <v>0</v>
      </c>
      <c r="AN50" s="28">
        <f>IF(AN15&gt;0, AN15-(AN$30*VALORI!$B$4)-(AN$31*VALORI!$B$4)-(AN$32*VALORI!$B$3)-(AN$33*VALORI!$B$5),0)</f>
        <v>0</v>
      </c>
      <c r="AO50" s="28">
        <f>IF(AO15&gt;0, AO15-(AO$30*VALORI!$B$4)-(AO$31*VALORI!$B$4)-(AO$32*VALORI!$B$3)-(AO$33*VALORI!$B$5),0)</f>
        <v>0</v>
      </c>
    </row>
    <row r="51" spans="15:41" ht="15.75" x14ac:dyDescent="0.25">
      <c r="W51" s="28">
        <f>IF(W25&gt;0, W25-(W$30*VALORI!$B$4)-(W$31*VALORI!$B$4)-(W$32*VALORI!$B$3)-(W$33*VALORI!$B$5),0)</f>
        <v>0</v>
      </c>
      <c r="X51" s="28">
        <f>IF(X25&gt;0, X25-(X$30*VALORI!$B$4)-(X$31*VALORI!$B$4)-(X$32*VALORI!$B$3)-(X$33*VALORI!$B$5),0)</f>
        <v>0</v>
      </c>
      <c r="Y51" s="28">
        <f>IF(Y25&gt;0, Y25-(Y$30*VALORI!$B$4)-(Y$31*VALORI!$B$4)-(Y$32*VALORI!$B$3)-(Y$33*VALORI!$B$5),0)</f>
        <v>0</v>
      </c>
      <c r="Z51" s="28">
        <f>IF(Z25&gt;0, Z25-(Z$30*VALORI!$B$4)-(Z$31*VALORI!$B$4)-(Z$32*VALORI!$B$3)-(Z$33*VALORI!$B$5),0)</f>
        <v>0</v>
      </c>
      <c r="AA51" s="28">
        <f>IF(AA25&gt;0, AA25-(AA$30*VALORI!$B$4)-(AA$31*VALORI!$B$4)-(AA$32*VALORI!$B$3)-(AA$33*VALORI!$B$5),0)</f>
        <v>0</v>
      </c>
      <c r="AB51" s="28">
        <f>IF(AB25&gt;0, AB25-(AB$30*VALORI!$B$4)-(AB$31*VALORI!$B$4)-(AB$32*VALORI!$B$3)-(AB$33*VALORI!$B$5),0)</f>
        <v>0</v>
      </c>
      <c r="AC51" s="28">
        <f>IF(AC25&gt;0, AC25-(AC$30*VALORI!$B$4)-(AC$31*VALORI!$B$4)-(AC$32*VALORI!$B$3)-(AC$33*VALORI!$B$5),0)</f>
        <v>0</v>
      </c>
      <c r="AD51" s="28">
        <f>IF(AD25&gt;0, AD25-(AD$30*VALORI!$B$4)-(AD$31*VALORI!$B$4)-(AD$32*VALORI!$B$3)-(AD$33*VALORI!$B$5),0)</f>
        <v>0</v>
      </c>
      <c r="AE51" s="28">
        <f>IF(AE25&gt;0, AE25-(AE$30*VALORI!$B$4)-(AE$31*VALORI!$B$4)-(AE$32*VALORI!$B$3)-(AE$33*VALORI!$B$5),0)</f>
        <v>0</v>
      </c>
      <c r="AF51" s="28">
        <f>IF(AF25&gt;0, AF25-(AF$30*VALORI!$B$4)-(AF$31*VALORI!$B$4)-(AF$32*VALORI!$B$3)-(AF$33*VALORI!$B$5),0)</f>
        <v>0</v>
      </c>
      <c r="AG51" s="28">
        <f>IF(AG25&gt;0, AG25-(AG$30*VALORI!$B$4)-(AG$31*VALORI!$B$4)-(AG$32*VALORI!$B$3)-(AG$33*VALORI!$B$5),0)</f>
        <v>0</v>
      </c>
      <c r="AH51" s="28">
        <f>IF(AH25&gt;0, AH25-(AH$30*VALORI!$B$4)-(AH$31*VALORI!$B$4)-(AH$32*VALORI!$B$3)-(AH$33*VALORI!$B$5),0)</f>
        <v>0</v>
      </c>
      <c r="AI51" s="28">
        <f>IF(AI25&gt;0, AI25-(AI$30*VALORI!$B$4)-(AI$31*VALORI!$B$4)-(AI$32*VALORI!$B$3)-(AI$33*VALORI!$B$5),0)</f>
        <v>0</v>
      </c>
      <c r="AJ51" s="28">
        <f>IF(AJ25&gt;0, AJ25-(AJ$30*VALORI!$B$4)-(AJ$31*VALORI!$B$4)-(AJ$32*VALORI!$B$3)-(AJ$33*VALORI!$B$5),0)</f>
        <v>0</v>
      </c>
      <c r="AK51" s="28">
        <f>IF(AK25&gt;0, AK25-(AK$30*VALORI!$B$4)-(AK$31*VALORI!$B$4)-(AK$32*VALORI!$B$3)-(AK$33*VALORI!$B$5),0)</f>
        <v>0</v>
      </c>
      <c r="AL51" s="28">
        <f>IF(AL25&gt;0, AL25-(AL$30*VALORI!$B$4)-(AL$31*VALORI!$B$4)-(AL$32*VALORI!$B$3)-(AL$33*VALORI!$B$5),0)</f>
        <v>0</v>
      </c>
      <c r="AM51" s="28">
        <f>IF(AM25&gt;0, AM25-(AM$30*VALORI!$B$4)-(AM$31*VALORI!$B$4)-(AM$32*VALORI!$B$3)-(AM$33*VALORI!$B$5),0)</f>
        <v>0</v>
      </c>
      <c r="AN51" s="28">
        <f>IF(AN25&gt;0, AN25-(AN$30*VALORI!$B$4)-(AN$31*VALORI!$B$4)-(AN$32*VALORI!$B$3)-(AN$33*VALORI!$B$5),0)</f>
        <v>0</v>
      </c>
      <c r="AO51" s="28">
        <f>IF(AO25&gt;0, AO25-(AO$30*VALORI!$B$4)-(AO$31*VALORI!$B$4)-(AO$32*VALORI!$B$3)-(AO$33*VALORI!$B$5),0)</f>
        <v>0</v>
      </c>
    </row>
    <row r="52" spans="15:41" ht="15.75" x14ac:dyDescent="0.25">
      <c r="W52" s="28">
        <f>IF(W26&gt;0, W26-(W$30*VALORI!$B$4)-(W$31*VALORI!$B$4)-(W$32*VALORI!$B$3)-(W$33*VALORI!$B$5),0)</f>
        <v>0</v>
      </c>
      <c r="X52" s="28">
        <f>IF(X26&gt;0, X26-(X$30*VALORI!$B$4)-(X$31*VALORI!$B$4)-(X$32*VALORI!$B$3)-(X$33*VALORI!$B$5),0)</f>
        <v>0</v>
      </c>
      <c r="Y52" s="28">
        <f>IF(Y26&gt;0, Y26-(Y$30*VALORI!$B$4)-(Y$31*VALORI!$B$4)-(Y$32*VALORI!$B$3)-(Y$33*VALORI!$B$5),0)</f>
        <v>0</v>
      </c>
      <c r="Z52" s="28">
        <f>IF(Z26&gt;0, Z26-(Z$30*VALORI!$B$4)-(Z$31*VALORI!$B$4)-(Z$32*VALORI!$B$3)-(Z$33*VALORI!$B$5),0)</f>
        <v>0</v>
      </c>
      <c r="AA52" s="28">
        <f>IF(AA26&gt;0, AA26-(AA$30*VALORI!$B$4)-(AA$31*VALORI!$B$4)-(AA$32*VALORI!$B$3)-(AA$33*VALORI!$B$5),0)</f>
        <v>0</v>
      </c>
      <c r="AB52" s="28">
        <f>IF(AB26&gt;0, AB26-(AB$30*VALORI!$B$4)-(AB$31*VALORI!$B$4)-(AB$32*VALORI!$B$3)-(AB$33*VALORI!$B$5),0)</f>
        <v>0</v>
      </c>
      <c r="AC52" s="28">
        <f>IF(AC26&gt;0, AC26-(AC$30*VALORI!$B$4)-(AC$31*VALORI!$B$4)-(AC$32*VALORI!$B$3)-(AC$33*VALORI!$B$5),0)</f>
        <v>0</v>
      </c>
      <c r="AD52" s="28">
        <f>IF(AD26&gt;0, AD26-(AD$30*VALORI!$B$4)-(AD$31*VALORI!$B$4)-(AD$32*VALORI!$B$3)-(AD$33*VALORI!$B$5),0)</f>
        <v>0</v>
      </c>
      <c r="AE52" s="28">
        <f>IF(AE26&gt;0, AE26-(AE$30*VALORI!$B$4)-(AE$31*VALORI!$B$4)-(AE$32*VALORI!$B$3)-(AE$33*VALORI!$B$5),0)</f>
        <v>0</v>
      </c>
      <c r="AF52" s="28">
        <f>IF(AF26&gt;0, AF26-(AF$30*VALORI!$B$4)-(AF$31*VALORI!$B$4)-(AF$32*VALORI!$B$3)-(AF$33*VALORI!$B$5),0)</f>
        <v>0</v>
      </c>
      <c r="AG52" s="28">
        <f>IF(AG26&gt;0, AG26-(AG$30*VALORI!$B$4)-(AG$31*VALORI!$B$4)-(AG$32*VALORI!$B$3)-(AG$33*VALORI!$B$5),0)</f>
        <v>0</v>
      </c>
      <c r="AH52" s="28">
        <f>IF(AH26&gt;0, AH26-(AH$30*VALORI!$B$4)-(AH$31*VALORI!$B$4)-(AH$32*VALORI!$B$3)-(AH$33*VALORI!$B$5),0)</f>
        <v>0</v>
      </c>
      <c r="AI52" s="28">
        <f>IF(AI26&gt;0, AI26-(AI$30*VALORI!$B$4)-(AI$31*VALORI!$B$4)-(AI$32*VALORI!$B$3)-(AI$33*VALORI!$B$5),0)</f>
        <v>0</v>
      </c>
      <c r="AJ52" s="28">
        <f>IF(AJ26&gt;0, AJ26-(AJ$30*VALORI!$B$4)-(AJ$31*VALORI!$B$4)-(AJ$32*VALORI!$B$3)-(AJ$33*VALORI!$B$5),0)</f>
        <v>0</v>
      </c>
      <c r="AK52" s="28">
        <f>IF(AK26&gt;0, AK26-(AK$30*VALORI!$B$4)-(AK$31*VALORI!$B$4)-(AK$32*VALORI!$B$3)-(AK$33*VALORI!$B$5),0)</f>
        <v>0</v>
      </c>
      <c r="AL52" s="28">
        <f>IF(AL26&gt;0, AL26-(AL$30*VALORI!$B$4)-(AL$31*VALORI!$B$4)-(AL$32*VALORI!$B$3)-(AL$33*VALORI!$B$5),0)</f>
        <v>0</v>
      </c>
      <c r="AM52" s="28">
        <f>IF(AM26&gt;0, AM26-(AM$30*VALORI!$B$4)-(AM$31*VALORI!$B$4)-(AM$32*VALORI!$B$3)-(AM$33*VALORI!$B$5),0)</f>
        <v>0</v>
      </c>
      <c r="AN52" s="28">
        <f>IF(AN26&gt;0, AN26-(AN$30*VALORI!$B$4)-(AN$31*VALORI!$B$4)-(AN$32*VALORI!$B$3)-(AN$33*VALORI!$B$5),0)</f>
        <v>0</v>
      </c>
      <c r="AO52" s="28">
        <f>IF(AO26&gt;0, AO26-(AO$30*VALORI!$B$4)-(AO$31*VALORI!$B$4)-(AO$32*VALORI!$B$3)-(AO$33*VALORI!$B$5),0)</f>
        <v>0</v>
      </c>
    </row>
    <row r="53" spans="15:41" ht="15.75" x14ac:dyDescent="0.25">
      <c r="W53" s="28">
        <f>IF(W27&gt;0, W27-(W$30*VALORI!$B$4)-(W$31*VALORI!$B$4)-(W$32*VALORI!$B$3)-(W$33*VALORI!$B$5),0)</f>
        <v>0</v>
      </c>
      <c r="X53" s="28">
        <f>IF(X27&gt;0, X27-(X$30*VALORI!$B$4)-(X$31*VALORI!$B$4)-(X$32*VALORI!$B$3)-(X$33*VALORI!$B$5),0)</f>
        <v>0</v>
      </c>
      <c r="Y53" s="28">
        <f>IF(Y27&gt;0, Y27-(Y$30*VALORI!$B$4)-(Y$31*VALORI!$B$4)-(Y$32*VALORI!$B$3)-(Y$33*VALORI!$B$5),0)</f>
        <v>0</v>
      </c>
      <c r="Z53" s="28">
        <f>IF(Z27&gt;0, Z27-(Z$30*VALORI!$B$4)-(Z$31*VALORI!$B$4)-(Z$32*VALORI!$B$3)-(Z$33*VALORI!$B$5),0)</f>
        <v>0</v>
      </c>
      <c r="AA53" s="28">
        <f>IF(AA27&gt;0, AA27-(AA$30*VALORI!$B$4)-(AA$31*VALORI!$B$4)-(AA$32*VALORI!$B$3)-(AA$33*VALORI!$B$5),0)</f>
        <v>0</v>
      </c>
      <c r="AB53" s="28">
        <f>IF(AB27&gt;0, AB27-(AB$30*VALORI!$B$4)-(AB$31*VALORI!$B$4)-(AB$32*VALORI!$B$3)-(AB$33*VALORI!$B$5),0)</f>
        <v>0</v>
      </c>
      <c r="AC53" s="28">
        <f>IF(AC27&gt;0, AC27-(AC$30*VALORI!$B$4)-(AC$31*VALORI!$B$4)-(AC$32*VALORI!$B$3)-(AC$33*VALORI!$B$5),0)</f>
        <v>0</v>
      </c>
      <c r="AD53" s="28">
        <f>IF(AD27&gt;0, AD27-(AD$30*VALORI!$B$4)-(AD$31*VALORI!$B$4)-(AD$32*VALORI!$B$3)-(AD$33*VALORI!$B$5),0)</f>
        <v>0</v>
      </c>
      <c r="AE53" s="28">
        <f>IF(AE27&gt;0, AE27-(AE$30*VALORI!$B$4)-(AE$31*VALORI!$B$4)-(AE$32*VALORI!$B$3)-(AE$33*VALORI!$B$5),0)</f>
        <v>0</v>
      </c>
      <c r="AF53" s="28">
        <f>IF(AF27&gt;0, AF27-(AF$30*VALORI!$B$4)-(AF$31*VALORI!$B$4)-(AF$32*VALORI!$B$3)-(AF$33*VALORI!$B$5),0)</f>
        <v>0</v>
      </c>
      <c r="AG53" s="28">
        <f>IF(AG27&gt;0, AG27-(AG$30*VALORI!$B$4)-(AG$31*VALORI!$B$4)-(AG$32*VALORI!$B$3)-(AG$33*VALORI!$B$5),0)</f>
        <v>0</v>
      </c>
      <c r="AH53" s="28">
        <f>IF(AH27&gt;0, AH27-(AH$30*VALORI!$B$4)-(AH$31*VALORI!$B$4)-(AH$32*VALORI!$B$3)-(AH$33*VALORI!$B$5),0)</f>
        <v>0</v>
      </c>
      <c r="AI53" s="28">
        <f>IF(AI27&gt;0, AI27-(AI$30*VALORI!$B$4)-(AI$31*VALORI!$B$4)-(AI$32*VALORI!$B$3)-(AI$33*VALORI!$B$5),0)</f>
        <v>0</v>
      </c>
      <c r="AJ53" s="28">
        <f>IF(AJ27&gt;0, AJ27-(AJ$30*VALORI!$B$4)-(AJ$31*VALORI!$B$4)-(AJ$32*VALORI!$B$3)-(AJ$33*VALORI!$B$5),0)</f>
        <v>0</v>
      </c>
      <c r="AK53" s="28">
        <f>IF(AK27&gt;0, AK27-(AK$30*VALORI!$B$4)-(AK$31*VALORI!$B$4)-(AK$32*VALORI!$B$3)-(AK$33*VALORI!$B$5),0)</f>
        <v>0</v>
      </c>
      <c r="AL53" s="28">
        <f>IF(AL27&gt;0, AL27-(AL$30*VALORI!$B$4)-(AL$31*VALORI!$B$4)-(AL$32*VALORI!$B$3)-(AL$33*VALORI!$B$5),0)</f>
        <v>0</v>
      </c>
      <c r="AM53" s="28">
        <f>IF(AM27&gt;0, AM27-(AM$30*VALORI!$B$4)-(AM$31*VALORI!$B$4)-(AM$32*VALORI!$B$3)-(AM$33*VALORI!$B$5),0)</f>
        <v>0</v>
      </c>
      <c r="AN53" s="28">
        <f>IF(AN27&gt;0, AN27-(AN$30*VALORI!$B$4)-(AN$31*VALORI!$B$4)-(AN$32*VALORI!$B$3)-(AN$33*VALORI!$B$5),0)</f>
        <v>0</v>
      </c>
      <c r="AO53" s="28">
        <f>IF(AO27&gt;0, AO27-(AO$30*VALORI!$B$4)-(AO$31*VALORI!$B$4)-(AO$32*VALORI!$B$3)-(AO$33*VALORI!$B$5),0)</f>
        <v>0</v>
      </c>
    </row>
    <row r="54" spans="15:41" ht="15.75" x14ac:dyDescent="0.25">
      <c r="W54" s="28">
        <f>IF(W28&gt;0, W28-(W$30*VALORI!$B$4)-(W$31*VALORI!$B$4)-(W$32*VALORI!$B$3)-(W$33*VALORI!$B$5),0)</f>
        <v>0</v>
      </c>
      <c r="X54" s="28">
        <f>IF(X28&gt;0, X28-(X$30*VALORI!$B$4)-(X$31*VALORI!$B$4)-(X$32*VALORI!$B$3)-(X$33*VALORI!$B$5),0)</f>
        <v>0</v>
      </c>
      <c r="Y54" s="28">
        <f>IF(Y28&gt;0, Y28-(Y$30*VALORI!$B$4)-(Y$31*VALORI!$B$4)-(Y$32*VALORI!$B$3)-(Y$33*VALORI!$B$5),0)</f>
        <v>0</v>
      </c>
      <c r="Z54" s="28">
        <f>IF(Z28&gt;0, Z28-(Z$30*VALORI!$B$4)-(Z$31*VALORI!$B$4)-(Z$32*VALORI!$B$3)-(Z$33*VALORI!$B$5),0)</f>
        <v>0</v>
      </c>
      <c r="AA54" s="28">
        <f>IF(AA28&gt;0, AA28-(AA$30*VALORI!$B$4)-(AA$31*VALORI!$B$4)-(AA$32*VALORI!$B$3)-(AA$33*VALORI!$B$5),0)</f>
        <v>0</v>
      </c>
      <c r="AB54" s="28">
        <f>IF(AB28&gt;0, AB28-(AB$30*VALORI!$B$4)-(AB$31*VALORI!$B$4)-(AB$32*VALORI!$B$3)-(AB$33*VALORI!$B$5),0)</f>
        <v>0</v>
      </c>
      <c r="AC54" s="28">
        <f>IF(AC28&gt;0, AC28-(AC$30*VALORI!$B$4)-(AC$31*VALORI!$B$4)-(AC$32*VALORI!$B$3)-(AC$33*VALORI!$B$5),0)</f>
        <v>0</v>
      </c>
      <c r="AD54" s="28">
        <f>IF(AD28&gt;0, AD28-(AD$30*VALORI!$B$4)-(AD$31*VALORI!$B$4)-(AD$32*VALORI!$B$3)-(AD$33*VALORI!$B$5),0)</f>
        <v>0</v>
      </c>
      <c r="AE54" s="28">
        <f>IF(AE28&gt;0, AE28-(AE$30*VALORI!$B$4)-(AE$31*VALORI!$B$4)-(AE$32*VALORI!$B$3)-(AE$33*VALORI!$B$5),0)</f>
        <v>0</v>
      </c>
      <c r="AF54" s="28">
        <f>IF(AF28&gt;0, AF28-(AF$30*VALORI!$B$4)-(AF$31*VALORI!$B$4)-(AF$32*VALORI!$B$3)-(AF$33*VALORI!$B$5),0)</f>
        <v>0</v>
      </c>
      <c r="AG54" s="28">
        <f>IF(AG28&gt;0, AG28-(AG$30*VALORI!$B$4)-(AG$31*VALORI!$B$4)-(AG$32*VALORI!$B$3)-(AG$33*VALORI!$B$5),0)</f>
        <v>0</v>
      </c>
      <c r="AH54" s="28">
        <f>IF(AH28&gt;0, AH28-(AH$30*VALORI!$B$4)-(AH$31*VALORI!$B$4)-(AH$32*VALORI!$B$3)-(AH$33*VALORI!$B$5),0)</f>
        <v>0</v>
      </c>
      <c r="AI54" s="28">
        <f>IF(AI28&gt;0, AI28-(AI$30*VALORI!$B$4)-(AI$31*VALORI!$B$4)-(AI$32*VALORI!$B$3)-(AI$33*VALORI!$B$5),0)</f>
        <v>0</v>
      </c>
      <c r="AJ54" s="28">
        <f>IF(AJ28&gt;0, AJ28-(AJ$30*VALORI!$B$4)-(AJ$31*VALORI!$B$4)-(AJ$32*VALORI!$B$3)-(AJ$33*VALORI!$B$5),0)</f>
        <v>0</v>
      </c>
      <c r="AK54" s="28">
        <f>IF(AK28&gt;0, AK28-(AK$30*VALORI!$B$4)-(AK$31*VALORI!$B$4)-(AK$32*VALORI!$B$3)-(AK$33*VALORI!$B$5),0)</f>
        <v>0</v>
      </c>
      <c r="AL54" s="28">
        <f>IF(AL28&gt;0, AL28-(AL$30*VALORI!$B$4)-(AL$31*VALORI!$B$4)-(AL$32*VALORI!$B$3)-(AL$33*VALORI!$B$5),0)</f>
        <v>0</v>
      </c>
      <c r="AM54" s="28">
        <f>IF(AM28&gt;0, AM28-(AM$30*VALORI!$B$4)-(AM$31*VALORI!$B$4)-(AM$32*VALORI!$B$3)-(AM$33*VALORI!$B$5),0)</f>
        <v>0</v>
      </c>
      <c r="AN54" s="28">
        <f>IF(AN28&gt;0, AN28-(AN$30*VALORI!$B$4)-(AN$31*VALORI!$B$4)-(AN$32*VALORI!$B$3)-(AN$33*VALORI!$B$5),0)</f>
        <v>0</v>
      </c>
      <c r="AO54" s="28">
        <f>IF(AO28&gt;0, AO28-(AO$30*VALORI!$B$4)-(AO$31*VALORI!$B$4)-(AO$32*VALORI!$B$3)-(AO$33*VALORI!$B$5),0)</f>
        <v>0</v>
      </c>
    </row>
    <row r="56" spans="15:41" ht="69.95" customHeight="1" x14ac:dyDescent="0.25"/>
    <row r="57" spans="15:41" ht="42" x14ac:dyDescent="0.25">
      <c r="W57" s="94" t="s">
        <v>340</v>
      </c>
      <c r="X57" s="94" t="s">
        <v>340</v>
      </c>
      <c r="Y57" s="94" t="s">
        <v>340</v>
      </c>
      <c r="Z57" s="94" t="s">
        <v>340</v>
      </c>
      <c r="AA57" s="94" t="s">
        <v>340</v>
      </c>
      <c r="AB57" s="94" t="s">
        <v>340</v>
      </c>
      <c r="AC57" s="94" t="s">
        <v>340</v>
      </c>
      <c r="AD57" s="94" t="s">
        <v>340</v>
      </c>
      <c r="AE57" s="94" t="s">
        <v>340</v>
      </c>
      <c r="AF57" s="94" t="s">
        <v>340</v>
      </c>
      <c r="AG57" s="94" t="s">
        <v>340</v>
      </c>
      <c r="AH57" s="94" t="s">
        <v>340</v>
      </c>
      <c r="AI57" s="94" t="s">
        <v>340</v>
      </c>
      <c r="AJ57" s="94" t="s">
        <v>340</v>
      </c>
      <c r="AK57" s="94" t="s">
        <v>340</v>
      </c>
      <c r="AL57" s="94" t="s">
        <v>340</v>
      </c>
      <c r="AM57" s="94" t="s">
        <v>340</v>
      </c>
      <c r="AN57" s="94" t="s">
        <v>340</v>
      </c>
      <c r="AO57" s="94" t="s">
        <v>340</v>
      </c>
    </row>
    <row r="58" spans="15:41" ht="15.75" x14ac:dyDescent="0.25">
      <c r="W58" s="28">
        <f>IF(W3&gt;0, (W$30*VALORI!$B$4)+(W$31*VALORI!$B$4)+(W$32*VALORI!$B$3)+(W$33*VALORI!$B$5),0)</f>
        <v>0</v>
      </c>
      <c r="X58" s="28">
        <f>IF(X3&gt;0, (X$30*VALORI!$B$4)+(X$31*VALORI!$B$4)+(X$32*VALORI!$B$3)+(X$33*VALORI!$B$5),0)</f>
        <v>0</v>
      </c>
      <c r="Y58" s="28">
        <f>IF(Y3&gt;0, (Y$30*VALORI!$B$4)+(Y$31*VALORI!$B$4)+(Y$32*VALORI!$B$3)+(Y$33*VALORI!$B$5),0)</f>
        <v>0</v>
      </c>
      <c r="Z58" s="28">
        <f>IF(Z3&gt;0, (Z$30*VALORI!$B$4)+(Z$31*VALORI!$B$4)+(Z$32*VALORI!$B$3)+(Z$33*VALORI!$B$5),0)</f>
        <v>0</v>
      </c>
      <c r="AA58" s="28">
        <f>IF(AA3&gt;0, (AA$30*VALORI!$B$4)+(AA$31*VALORI!$B$4)+(AA$32*VALORI!$B$3)+(AA$33*VALORI!$B$5),0)</f>
        <v>0</v>
      </c>
      <c r="AB58" s="28">
        <f>IF(AB3&gt;0, (AB$30*VALORI!$B$4)+(AB$31*VALORI!$B$4)+(AB$32*VALORI!$B$3)+(AB$33*VALORI!$B$5),0)</f>
        <v>0</v>
      </c>
      <c r="AC58" s="28">
        <f>IF(AC3&gt;0, (AC$30*VALORI!$B$4)+(AC$31*VALORI!$B$4)+(AC$32*VALORI!$B$3)+(AC$33*VALORI!$B$5),0)</f>
        <v>0</v>
      </c>
      <c r="AD58" s="28">
        <f>IF(AD3&gt;0, (AD$30*VALORI!$B$4)+(AD$31*VALORI!$B$4)+(AD$32*VALORI!$B$3)+(AD$33*VALORI!$B$5),0)</f>
        <v>0</v>
      </c>
      <c r="AE58" s="28">
        <f>IF(AE3&gt;0, (AE$30*VALORI!$B$4)+(AE$31*VALORI!$B$4)+(AE$32*VALORI!$B$3)+(AE$33*VALORI!$B$5),0)</f>
        <v>0</v>
      </c>
      <c r="AF58" s="28">
        <f>IF(AF3&gt;0, (AF$30*VALORI!$B$4)+(AF$31*VALORI!$B$4)+(AF$32*VALORI!$B$3)+(AF$33*VALORI!$B$5),0)</f>
        <v>0</v>
      </c>
      <c r="AG58" s="28">
        <f>IF(AG3&gt;0, (AG$30*VALORI!$B$4)+(AG$31*VALORI!$B$4)+(AG$32*VALORI!$B$3)+(AG$33*VALORI!$B$5),0)</f>
        <v>0</v>
      </c>
      <c r="AH58" s="28">
        <f>IF(AH3&gt;0, (AH$30*VALORI!$B$4)+(AH$31*VALORI!$B$4)+(AH$32*VALORI!$B$3)+(AH$33*VALORI!$B$5),0)</f>
        <v>0</v>
      </c>
      <c r="AI58" s="28">
        <f>IF(AI3&gt;0, (AI$30*VALORI!$B$4)+(AI$31*VALORI!$B$4)+(AI$32*VALORI!$B$3)+(AI$33*VALORI!$B$5),0)</f>
        <v>0</v>
      </c>
      <c r="AJ58" s="28">
        <f>IF(AJ3&gt;0, (AJ$30*VALORI!$B$4)+(AJ$31*VALORI!$B$4)+(AJ$32*VALORI!$B$3)+(AJ$33*VALORI!$B$5),0)</f>
        <v>0</v>
      </c>
      <c r="AK58" s="28">
        <f>IF(AK3&gt;0, (AK$30*VALORI!$B$4)+(AK$31*VALORI!$B$4)+(AK$32*VALORI!$B$3)+(AK$33*VALORI!$B$5),0)</f>
        <v>0</v>
      </c>
      <c r="AL58" s="28">
        <f>IF(AL3&gt;0, (AL$30*VALORI!$B$4)+(AL$31*VALORI!$B$4)+(AL$32*VALORI!$B$3)+(AL$33*VALORI!$B$5),0)</f>
        <v>0</v>
      </c>
      <c r="AM58" s="28">
        <f>IF(AM3&gt;0, (AM$30*VALORI!$B$4)+(AM$31*VALORI!$B$4)+(AM$32*VALORI!$B$3)+(AM$33*VALORI!$B$5),0)</f>
        <v>0</v>
      </c>
      <c r="AN58" s="28">
        <f>IF(AN3&gt;0, (AN$30*VALORI!$B$4)+(AN$31*VALORI!$B$4)+(AN$32*VALORI!$B$3)+(AN$33*VALORI!$B$5),0)</f>
        <v>0</v>
      </c>
      <c r="AO58" s="28">
        <f>IF(AO3&gt;0, (AO$30*VALORI!$B$4)+(AO$31*VALORI!$B$4)+(AO$32*VALORI!$B$3)+(AO$33*VALORI!$B$5),0)</f>
        <v>0</v>
      </c>
    </row>
    <row r="59" spans="15:41" ht="15.75" x14ac:dyDescent="0.25">
      <c r="W59" s="28">
        <f>IF(W4&gt;0, (W$30*VALORI!$B$4)+(W$31*VALORI!$B$4)+(W$32*VALORI!$B$3)+(W$33*VALORI!$B$5),0)</f>
        <v>0</v>
      </c>
      <c r="X59" s="28">
        <f>IF(X4&gt;0, (X$30*VALORI!$B$4)+(X$31*VALORI!$B$4)+(X$32*VALORI!$B$3)+(X$33*VALORI!$B$5),0)</f>
        <v>0</v>
      </c>
      <c r="Y59" s="28">
        <f>IF(Y4&gt;0, (Y$30*VALORI!$B$4)+(Y$31*VALORI!$B$4)+(Y$32*VALORI!$B$3)+(Y$33*VALORI!$B$5),0)</f>
        <v>0</v>
      </c>
      <c r="Z59" s="28">
        <f>IF(Z4&gt;0, (Z$30*VALORI!$B$4)+(Z$31*VALORI!$B$4)+(Z$32*VALORI!$B$3)+(Z$33*VALORI!$B$5),0)</f>
        <v>0</v>
      </c>
      <c r="AA59" s="28">
        <f>IF(AA4&gt;0, (AA$30*VALORI!$B$4)+(AA$31*VALORI!$B$4)+(AA$32*VALORI!$B$3)+(AA$33*VALORI!$B$5),0)</f>
        <v>0</v>
      </c>
      <c r="AB59" s="28">
        <f>IF(AB4&gt;0, (AB$30*VALORI!$B$4)+(AB$31*VALORI!$B$4)+(AB$32*VALORI!$B$3)+(AB$33*VALORI!$B$5),0)</f>
        <v>0</v>
      </c>
      <c r="AC59" s="28">
        <f>IF(AC4&gt;0, (AC$30*VALORI!$B$4)+(AC$31*VALORI!$B$4)+(AC$32*VALORI!$B$3)+(AC$33*VALORI!$B$5),0)</f>
        <v>0</v>
      </c>
      <c r="AD59" s="28">
        <f>IF(AD4&gt;0, (AD$30*VALORI!$B$4)+(AD$31*VALORI!$B$4)+(AD$32*VALORI!$B$3)+(AD$33*VALORI!$B$5),0)</f>
        <v>0</v>
      </c>
      <c r="AE59" s="28">
        <f>IF(AE4&gt;0, (AE$30*VALORI!$B$4)+(AE$31*VALORI!$B$4)+(AE$32*VALORI!$B$3)+(AE$33*VALORI!$B$5),0)</f>
        <v>0</v>
      </c>
      <c r="AF59" s="28">
        <f>IF(AF4&gt;0, (AF$30*VALORI!$B$4)+(AF$31*VALORI!$B$4)+(AF$32*VALORI!$B$3)+(AF$33*VALORI!$B$5),0)</f>
        <v>0</v>
      </c>
      <c r="AG59" s="28">
        <f>IF(AG4&gt;0, (AG$30*VALORI!$B$4)+(AG$31*VALORI!$B$4)+(AG$32*VALORI!$B$3)+(AG$33*VALORI!$B$5),0)</f>
        <v>0</v>
      </c>
      <c r="AH59" s="28">
        <f>IF(AH4&gt;0, (AH$30*VALORI!$B$4)+(AH$31*VALORI!$B$4)+(AH$32*VALORI!$B$3)+(AH$33*VALORI!$B$5),0)</f>
        <v>0</v>
      </c>
      <c r="AI59" s="28">
        <f>IF(AI4&gt;0, (AI$30*VALORI!$B$4)+(AI$31*VALORI!$B$4)+(AI$32*VALORI!$B$3)+(AI$33*VALORI!$B$5),0)</f>
        <v>0</v>
      </c>
      <c r="AJ59" s="28">
        <f>IF(AJ4&gt;0, (AJ$30*VALORI!$B$4)+(AJ$31*VALORI!$B$4)+(AJ$32*VALORI!$B$3)+(AJ$33*VALORI!$B$5),0)</f>
        <v>0</v>
      </c>
      <c r="AK59" s="28">
        <f>IF(AK4&gt;0, (AK$30*VALORI!$B$4)+(AK$31*VALORI!$B$4)+(AK$32*VALORI!$B$3)+(AK$33*VALORI!$B$5),0)</f>
        <v>0</v>
      </c>
      <c r="AL59" s="28">
        <f>IF(AL4&gt;0, (AL$30*VALORI!$B$4)+(AL$31*VALORI!$B$4)+(AL$32*VALORI!$B$3)+(AL$33*VALORI!$B$5),0)</f>
        <v>0</v>
      </c>
      <c r="AM59" s="28">
        <f>IF(AM4&gt;0, (AM$30*VALORI!$B$4)+(AM$31*VALORI!$B$4)+(AM$32*VALORI!$B$3)+(AM$33*VALORI!$B$5),0)</f>
        <v>0</v>
      </c>
      <c r="AN59" s="28">
        <f>IF(AN4&gt;0, (AN$30*VALORI!$B$4)+(AN$31*VALORI!$B$4)+(AN$32*VALORI!$B$3)+(AN$33*VALORI!$B$5),0)</f>
        <v>0</v>
      </c>
      <c r="AO59" s="28">
        <f>IF(AO4&gt;0, (AO$30*VALORI!$B$4)+(AO$31*VALORI!$B$4)+(AO$32*VALORI!$B$3)+(AO$33*VALORI!$B$5),0)</f>
        <v>0</v>
      </c>
    </row>
    <row r="60" spans="15:41" ht="15.75" x14ac:dyDescent="0.25">
      <c r="W60" s="28">
        <f>IF(W5&gt;0, (W$30*VALORI!$B$4)+(W$31*VALORI!$B$4)+(W$32*VALORI!$B$3)+(W$33*VALORI!$B$5),0)</f>
        <v>0</v>
      </c>
      <c r="X60" s="28">
        <f>IF(X5&gt;0, (X$30*VALORI!$B$4)+(X$31*VALORI!$B$4)+(X$32*VALORI!$B$3)+(X$33*VALORI!$B$5),0)</f>
        <v>0</v>
      </c>
      <c r="Y60" s="28">
        <f>IF(Y5&gt;0, (Y$30*VALORI!$B$4)+(Y$31*VALORI!$B$4)+(Y$32*VALORI!$B$3)+(Y$33*VALORI!$B$5),0)</f>
        <v>0</v>
      </c>
      <c r="Z60" s="28">
        <f>IF(Z5&gt;0, (Z$30*VALORI!$B$4)+(Z$31*VALORI!$B$4)+(Z$32*VALORI!$B$3)+(Z$33*VALORI!$B$5),0)</f>
        <v>0</v>
      </c>
      <c r="AA60" s="28">
        <f>IF(AA5&gt;0, (AA$30*VALORI!$B$4)+(AA$31*VALORI!$B$4)+(AA$32*VALORI!$B$3)+(AA$33*VALORI!$B$5),0)</f>
        <v>0</v>
      </c>
      <c r="AB60" s="28">
        <f>IF(AB5&gt;0, (AB$30*VALORI!$B$4)+(AB$31*VALORI!$B$4)+(AB$32*VALORI!$B$3)+(AB$33*VALORI!$B$5),0)</f>
        <v>0</v>
      </c>
      <c r="AC60" s="28">
        <f>IF(AC5&gt;0, (AC$30*VALORI!$B$4)+(AC$31*VALORI!$B$4)+(AC$32*VALORI!$B$3)+(AC$33*VALORI!$B$5),0)</f>
        <v>0</v>
      </c>
      <c r="AD60" s="28">
        <f>IF(AD5&gt;0, (AD$30*VALORI!$B$4)+(AD$31*VALORI!$B$4)+(AD$32*VALORI!$B$3)+(AD$33*VALORI!$B$5),0)</f>
        <v>0</v>
      </c>
      <c r="AE60" s="28">
        <f>IF(AE5&gt;0, (AE$30*VALORI!$B$4)+(AE$31*VALORI!$B$4)+(AE$32*VALORI!$B$3)+(AE$33*VALORI!$B$5),0)</f>
        <v>0</v>
      </c>
      <c r="AF60" s="28">
        <f>IF(AF5&gt;0, (AF$30*VALORI!$B$4)+(AF$31*VALORI!$B$4)+(AF$32*VALORI!$B$3)+(AF$33*VALORI!$B$5),0)</f>
        <v>0</v>
      </c>
      <c r="AG60" s="28">
        <f>IF(AG5&gt;0, (AG$30*VALORI!$B$4)+(AG$31*VALORI!$B$4)+(AG$32*VALORI!$B$3)+(AG$33*VALORI!$B$5),0)</f>
        <v>0</v>
      </c>
      <c r="AH60" s="28">
        <f>IF(AH5&gt;0, (AH$30*VALORI!$B$4)+(AH$31*VALORI!$B$4)+(AH$32*VALORI!$B$3)+(AH$33*VALORI!$B$5),0)</f>
        <v>0</v>
      </c>
      <c r="AI60" s="28">
        <f>IF(AI5&gt;0, (AI$30*VALORI!$B$4)+(AI$31*VALORI!$B$4)+(AI$32*VALORI!$B$3)+(AI$33*VALORI!$B$5),0)</f>
        <v>0</v>
      </c>
      <c r="AJ60" s="28">
        <f>IF(AJ5&gt;0, (AJ$30*VALORI!$B$4)+(AJ$31*VALORI!$B$4)+(AJ$32*VALORI!$B$3)+(AJ$33*VALORI!$B$5),0)</f>
        <v>0</v>
      </c>
      <c r="AK60" s="28">
        <f>IF(AK5&gt;0, (AK$30*VALORI!$B$4)+(AK$31*VALORI!$B$4)+(AK$32*VALORI!$B$3)+(AK$33*VALORI!$B$5),0)</f>
        <v>0</v>
      </c>
      <c r="AL60" s="28">
        <f>IF(AL5&gt;0, (AL$30*VALORI!$B$4)+(AL$31*VALORI!$B$4)+(AL$32*VALORI!$B$3)+(AL$33*VALORI!$B$5),0)</f>
        <v>0</v>
      </c>
      <c r="AM60" s="28">
        <f>IF(AM5&gt;0, (AM$30*VALORI!$B$4)+(AM$31*VALORI!$B$4)+(AM$32*VALORI!$B$3)+(AM$33*VALORI!$B$5),0)</f>
        <v>0</v>
      </c>
      <c r="AN60" s="28">
        <f>IF(AN5&gt;0, (AN$30*VALORI!$B$4)+(AN$31*VALORI!$B$4)+(AN$32*VALORI!$B$3)+(AN$33*VALORI!$B$5),0)</f>
        <v>0</v>
      </c>
      <c r="AO60" s="28">
        <f>IF(AO5&gt;0, (AO$30*VALORI!$B$4)+(AO$31*VALORI!$B$4)+(AO$32*VALORI!$B$3)+(AO$33*VALORI!$B$5),0)</f>
        <v>0</v>
      </c>
    </row>
    <row r="61" spans="15:41" ht="15.75" x14ac:dyDescent="0.25">
      <c r="W61" s="28">
        <f>IF(W6&gt;0, (W$30*VALORI!$B$4)+(W$31*VALORI!$B$4)+(W$32*VALORI!$B$3)+(W$33*VALORI!$B$5),0)</f>
        <v>0</v>
      </c>
      <c r="X61" s="28">
        <f>IF(X6&gt;0, (X$30*VALORI!$B$4)+(X$31*VALORI!$B$4)+(X$32*VALORI!$B$3)+(X$33*VALORI!$B$5),0)</f>
        <v>0</v>
      </c>
      <c r="Y61" s="28">
        <f>IF(Y6&gt;0, (Y$30*VALORI!$B$4)+(Y$31*VALORI!$B$4)+(Y$32*VALORI!$B$3)+(Y$33*VALORI!$B$5),0)</f>
        <v>0</v>
      </c>
      <c r="Z61" s="28">
        <f>IF(Z6&gt;0, (Z$30*VALORI!$B$4)+(Z$31*VALORI!$B$4)+(Z$32*VALORI!$B$3)+(Z$33*VALORI!$B$5),0)</f>
        <v>0</v>
      </c>
      <c r="AA61" s="28">
        <f>IF(AA6&gt;0, (AA$30*VALORI!$B$4)+(AA$31*VALORI!$B$4)+(AA$32*VALORI!$B$3)+(AA$33*VALORI!$B$5),0)</f>
        <v>0</v>
      </c>
      <c r="AB61" s="28">
        <f>IF(AB6&gt;0, (AB$30*VALORI!$B$4)+(AB$31*VALORI!$B$4)+(AB$32*VALORI!$B$3)+(AB$33*VALORI!$B$5),0)</f>
        <v>0</v>
      </c>
      <c r="AC61" s="28">
        <f>IF(AC6&gt;0, (AC$30*VALORI!$B$4)+(AC$31*VALORI!$B$4)+(AC$32*VALORI!$B$3)+(AC$33*VALORI!$B$5),0)</f>
        <v>0</v>
      </c>
      <c r="AD61" s="28">
        <f>IF(AD6&gt;0, (AD$30*VALORI!$B$4)+(AD$31*VALORI!$B$4)+(AD$32*VALORI!$B$3)+(AD$33*VALORI!$B$5),0)</f>
        <v>0</v>
      </c>
      <c r="AE61" s="28">
        <f>IF(AE6&gt;0, (AE$30*VALORI!$B$4)+(AE$31*VALORI!$B$4)+(AE$32*VALORI!$B$3)+(AE$33*VALORI!$B$5),0)</f>
        <v>0</v>
      </c>
      <c r="AF61" s="28">
        <f>IF(AF6&gt;0, (AF$30*VALORI!$B$4)+(AF$31*VALORI!$B$4)+(AF$32*VALORI!$B$3)+(AF$33*VALORI!$B$5),0)</f>
        <v>0</v>
      </c>
      <c r="AG61" s="28">
        <f>IF(AG6&gt;0, (AG$30*VALORI!$B$4)+(AG$31*VALORI!$B$4)+(AG$32*VALORI!$B$3)+(AG$33*VALORI!$B$5),0)</f>
        <v>0</v>
      </c>
      <c r="AH61" s="28">
        <f>IF(AH6&gt;0, (AH$30*VALORI!$B$4)+(AH$31*VALORI!$B$4)+(AH$32*VALORI!$B$3)+(AH$33*VALORI!$B$5),0)</f>
        <v>0</v>
      </c>
      <c r="AI61" s="28">
        <f>IF(AI6&gt;0, (AI$30*VALORI!$B$4)+(AI$31*VALORI!$B$4)+(AI$32*VALORI!$B$3)+(AI$33*VALORI!$B$5),0)</f>
        <v>0</v>
      </c>
      <c r="AJ61" s="28">
        <f>IF(AJ6&gt;0, (AJ$30*VALORI!$B$4)+(AJ$31*VALORI!$B$4)+(AJ$32*VALORI!$B$3)+(AJ$33*VALORI!$B$5),0)</f>
        <v>0</v>
      </c>
      <c r="AK61" s="28">
        <f>IF(AK6&gt;0, (AK$30*VALORI!$B$4)+(AK$31*VALORI!$B$4)+(AK$32*VALORI!$B$3)+(AK$33*VALORI!$B$5),0)</f>
        <v>0</v>
      </c>
      <c r="AL61" s="28">
        <f>IF(AL6&gt;0, (AL$30*VALORI!$B$4)+(AL$31*VALORI!$B$4)+(AL$32*VALORI!$B$3)+(AL$33*VALORI!$B$5),0)</f>
        <v>0</v>
      </c>
      <c r="AM61" s="28">
        <f>IF(AM6&gt;0, (AM$30*VALORI!$B$4)+(AM$31*VALORI!$B$4)+(AM$32*VALORI!$B$3)+(AM$33*VALORI!$B$5),0)</f>
        <v>0</v>
      </c>
      <c r="AN61" s="28">
        <f>IF(AN6&gt;0, (AN$30*VALORI!$B$4)+(AN$31*VALORI!$B$4)+(AN$32*VALORI!$B$3)+(AN$33*VALORI!$B$5),0)</f>
        <v>0</v>
      </c>
      <c r="AO61" s="28">
        <f>IF(AO6&gt;0, (AO$30*VALORI!$B$4)+(AO$31*VALORI!$B$4)+(AO$32*VALORI!$B$3)+(AO$33*VALORI!$B$5),0)</f>
        <v>0</v>
      </c>
    </row>
    <row r="62" spans="15:41" ht="15.75" x14ac:dyDescent="0.25">
      <c r="W62" s="28">
        <f>IF(W7&gt;0, (W$30*VALORI!$B$4)+(W$31*VALORI!$B$4)+(W$32*VALORI!$B$3)+(W$33*VALORI!$B$5),0)</f>
        <v>0</v>
      </c>
      <c r="X62" s="28">
        <f>IF(X7&gt;0, (X$30*VALORI!$B$4)+(X$31*VALORI!$B$4)+(X$32*VALORI!$B$3)+(X$33*VALORI!$B$5),0)</f>
        <v>0</v>
      </c>
      <c r="Y62" s="28">
        <f>IF(Y7&gt;0, (Y$30*VALORI!$B$4)+(Y$31*VALORI!$B$4)+(Y$32*VALORI!$B$3)+(Y$33*VALORI!$B$5),0)</f>
        <v>0</v>
      </c>
      <c r="Z62" s="28">
        <f>IF(Z7&gt;0, (Z$30*VALORI!$B$4)+(Z$31*VALORI!$B$4)+(Z$32*VALORI!$B$3)+(Z$33*VALORI!$B$5),0)</f>
        <v>0</v>
      </c>
      <c r="AA62" s="28">
        <f>IF(AA7&gt;0, (AA$30*VALORI!$B$4)+(AA$31*VALORI!$B$4)+(AA$32*VALORI!$B$3)+(AA$33*VALORI!$B$5),0)</f>
        <v>0</v>
      </c>
      <c r="AB62" s="28">
        <f>IF(AB7&gt;0, (AB$30*VALORI!$B$4)+(AB$31*VALORI!$B$4)+(AB$32*VALORI!$B$3)+(AB$33*VALORI!$B$5),0)</f>
        <v>0</v>
      </c>
      <c r="AC62" s="28">
        <f>IF(AC7&gt;0, (AC$30*VALORI!$B$4)+(AC$31*VALORI!$B$4)+(AC$32*VALORI!$B$3)+(AC$33*VALORI!$B$5),0)</f>
        <v>0</v>
      </c>
      <c r="AD62" s="28">
        <f>IF(AD7&gt;0, (AD$30*VALORI!$B$4)+(AD$31*VALORI!$B$4)+(AD$32*VALORI!$B$3)+(AD$33*VALORI!$B$5),0)</f>
        <v>0</v>
      </c>
      <c r="AE62" s="28">
        <f>IF(AE7&gt;0, (AE$30*VALORI!$B$4)+(AE$31*VALORI!$B$4)+(AE$32*VALORI!$B$3)+(AE$33*VALORI!$B$5),0)</f>
        <v>0</v>
      </c>
      <c r="AF62" s="28">
        <f>IF(AF7&gt;0, (AF$30*VALORI!$B$4)+(AF$31*VALORI!$B$4)+(AF$32*VALORI!$B$3)+(AF$33*VALORI!$B$5),0)</f>
        <v>0</v>
      </c>
      <c r="AG62" s="28">
        <f>IF(AG7&gt;0, (AG$30*VALORI!$B$4)+(AG$31*VALORI!$B$4)+(AG$32*VALORI!$B$3)+(AG$33*VALORI!$B$5),0)</f>
        <v>0</v>
      </c>
      <c r="AH62" s="28">
        <f>IF(AH7&gt;0, (AH$30*VALORI!$B$4)+(AH$31*VALORI!$B$4)+(AH$32*VALORI!$B$3)+(AH$33*VALORI!$B$5),0)</f>
        <v>0</v>
      </c>
      <c r="AI62" s="28">
        <f>IF(AI7&gt;0, (AI$30*VALORI!$B$4)+(AI$31*VALORI!$B$4)+(AI$32*VALORI!$B$3)+(AI$33*VALORI!$B$5),0)</f>
        <v>0</v>
      </c>
      <c r="AJ62" s="28">
        <f>IF(AJ7&gt;0, (AJ$30*VALORI!$B$4)+(AJ$31*VALORI!$B$4)+(AJ$32*VALORI!$B$3)+(AJ$33*VALORI!$B$5),0)</f>
        <v>0</v>
      </c>
      <c r="AK62" s="28">
        <f>IF(AK7&gt;0, (AK$30*VALORI!$B$4)+(AK$31*VALORI!$B$4)+(AK$32*VALORI!$B$3)+(AK$33*VALORI!$B$5),0)</f>
        <v>0</v>
      </c>
      <c r="AL62" s="28">
        <f>IF(AL7&gt;0, (AL$30*VALORI!$B$4)+(AL$31*VALORI!$B$4)+(AL$32*VALORI!$B$3)+(AL$33*VALORI!$B$5),0)</f>
        <v>0</v>
      </c>
      <c r="AM62" s="28">
        <f>IF(AM7&gt;0, (AM$30*VALORI!$B$4)+(AM$31*VALORI!$B$4)+(AM$32*VALORI!$B$3)+(AM$33*VALORI!$B$5),0)</f>
        <v>0</v>
      </c>
      <c r="AN62" s="28">
        <f>IF(AN7&gt;0, (AN$30*VALORI!$B$4)+(AN$31*VALORI!$B$4)+(AN$32*VALORI!$B$3)+(AN$33*VALORI!$B$5),0)</f>
        <v>0</v>
      </c>
      <c r="AO62" s="28">
        <f>IF(AO7&gt;0, (AO$30*VALORI!$B$4)+(AO$31*VALORI!$B$4)+(AO$32*VALORI!$B$3)+(AO$33*VALORI!$B$5),0)</f>
        <v>0</v>
      </c>
    </row>
    <row r="63" spans="15:41" ht="15.75" x14ac:dyDescent="0.25">
      <c r="W63" s="28">
        <f>IF(W8&gt;0, (W$30*VALORI!$B$4)+(W$31*VALORI!$B$4)+(W$32*VALORI!$B$3)+(W$33*VALORI!$B$5),0)</f>
        <v>1240</v>
      </c>
      <c r="X63" s="28">
        <f>IF(X8&gt;0, (X$30*VALORI!$B$4)+(X$31*VALORI!$B$4)+(X$32*VALORI!$B$3)+(X$33*VALORI!$B$5),0)</f>
        <v>3720</v>
      </c>
      <c r="Y63" s="28">
        <f>IF(Y8&gt;0, (Y$30*VALORI!$B$4)+(Y$31*VALORI!$B$4)+(Y$32*VALORI!$B$3)+(Y$33*VALORI!$B$5),0)</f>
        <v>992</v>
      </c>
      <c r="Z63" s="28">
        <f>IF(Z8&gt;0, (Z$30*VALORI!$B$4)+(Z$31*VALORI!$B$4)+(Z$32*VALORI!$B$3)+(Z$33*VALORI!$B$5),0)</f>
        <v>992</v>
      </c>
      <c r="AA63" s="28">
        <f>IF(AA8&gt;0, (AA$30*VALORI!$B$4)+(AA$31*VALORI!$B$4)+(AA$32*VALORI!$B$3)+(AA$33*VALORI!$B$5),0)</f>
        <v>876</v>
      </c>
      <c r="AB63" s="28">
        <f>IF(AB8&gt;0, (AB$30*VALORI!$B$4)+(AB$31*VALORI!$B$4)+(AB$32*VALORI!$B$3)+(AB$33*VALORI!$B$5),0)</f>
        <v>103</v>
      </c>
      <c r="AC63" s="28">
        <f>IF(AC8&gt;0, (AC$30*VALORI!$B$4)+(AC$31*VALORI!$B$4)+(AC$32*VALORI!$B$3)+(AC$33*VALORI!$B$5),0)</f>
        <v>794</v>
      </c>
      <c r="AD63" s="28">
        <f>IF(AD8&gt;0, (AD$30*VALORI!$B$4)+(AD$31*VALORI!$B$4)+(AD$32*VALORI!$B$3)+(AD$33*VALORI!$B$5),0)</f>
        <v>2354</v>
      </c>
      <c r="AE63" s="28">
        <f>IF(AE8&gt;0, (AE$30*VALORI!$B$4)+(AE$31*VALORI!$B$4)+(AE$32*VALORI!$B$3)+(AE$33*VALORI!$B$5),0)</f>
        <v>1268</v>
      </c>
      <c r="AF63" s="28">
        <f>IF(AF8&gt;0, (AF$30*VALORI!$B$4)+(AF$31*VALORI!$B$4)+(AF$32*VALORI!$B$3)+(AF$33*VALORI!$B$5),0)</f>
        <v>1123</v>
      </c>
      <c r="AG63" s="28">
        <f>IF(AG8&gt;0, (AG$30*VALORI!$B$4)+(AG$31*VALORI!$B$4)+(AG$32*VALORI!$B$3)+(AG$33*VALORI!$B$5),0)</f>
        <v>821</v>
      </c>
      <c r="AH63" s="28">
        <f>IF(AH8&gt;0, (AH$30*VALORI!$B$4)+(AH$31*VALORI!$B$4)+(AH$32*VALORI!$B$3)+(AH$33*VALORI!$B$5),0)</f>
        <v>148</v>
      </c>
      <c r="AI63" s="28">
        <f>IF(AI8&gt;0, (AI$30*VALORI!$B$4)+(AI$31*VALORI!$B$4)+(AI$32*VALORI!$B$3)+(AI$33*VALORI!$B$5),0)</f>
        <v>1600</v>
      </c>
      <c r="AJ63" s="28">
        <f>IF(AJ8&gt;0, (AJ$30*VALORI!$B$4)+(AJ$31*VALORI!$B$4)+(AJ$32*VALORI!$B$3)+(AJ$33*VALORI!$B$5),0)</f>
        <v>2249</v>
      </c>
      <c r="AK63" s="28">
        <f>IF(AK8&gt;0, (AK$30*VALORI!$B$4)+(AK$31*VALORI!$B$4)+(AK$32*VALORI!$B$3)+(AK$33*VALORI!$B$5),0)</f>
        <v>0</v>
      </c>
      <c r="AL63" s="28">
        <f>IF(AL8&gt;0, (AL$30*VALORI!$B$4)+(AL$31*VALORI!$B$4)+(AL$32*VALORI!$B$3)+(AL$33*VALORI!$B$5),0)</f>
        <v>0</v>
      </c>
      <c r="AM63" s="28">
        <f>IF(AM8&gt;0, (AM$30*VALORI!$B$4)+(AM$31*VALORI!$B$4)+(AM$32*VALORI!$B$3)+(AM$33*VALORI!$B$5),0)</f>
        <v>642</v>
      </c>
      <c r="AN63" s="28">
        <f>IF(AN8&gt;0, (AN$30*VALORI!$B$4)+(AN$31*VALORI!$B$4)+(AN$32*VALORI!$B$3)+(AN$33*VALORI!$B$5),0)</f>
        <v>0</v>
      </c>
      <c r="AO63" s="28">
        <f>IF(AO8&gt;0, (AO$30*VALORI!$B$4)+(AO$31*VALORI!$B$4)+(AO$32*VALORI!$B$3)+(AO$33*VALORI!$B$5),0)</f>
        <v>1484</v>
      </c>
    </row>
    <row r="64" spans="15:41" ht="15.75" x14ac:dyDescent="0.25">
      <c r="W64" s="28">
        <f>IF(W9&gt;0, (W$30*VALORI!$B$4)+(W$31*VALORI!$B$4)+(W$32*VALORI!$B$3)+(W$33*VALORI!$B$5),0)</f>
        <v>1240</v>
      </c>
      <c r="X64" s="28">
        <f>IF(X9&gt;0, (X$30*VALORI!$B$4)+(X$31*VALORI!$B$4)+(X$32*VALORI!$B$3)+(X$33*VALORI!$B$5),0)</f>
        <v>3720</v>
      </c>
      <c r="Y64" s="28">
        <f>IF(Y9&gt;0, (Y$30*VALORI!$B$4)+(Y$31*VALORI!$B$4)+(Y$32*VALORI!$B$3)+(Y$33*VALORI!$B$5),0)</f>
        <v>992</v>
      </c>
      <c r="Z64" s="28">
        <f>IF(Z9&gt;0, (Z$30*VALORI!$B$4)+(Z$31*VALORI!$B$4)+(Z$32*VALORI!$B$3)+(Z$33*VALORI!$B$5),0)</f>
        <v>992</v>
      </c>
      <c r="AA64" s="28">
        <f>IF(AA9&gt;0, (AA$30*VALORI!$B$4)+(AA$31*VALORI!$B$4)+(AA$32*VALORI!$B$3)+(AA$33*VALORI!$B$5),0)</f>
        <v>876</v>
      </c>
      <c r="AB64" s="28">
        <f>IF(AB9&gt;0, (AB$30*VALORI!$B$4)+(AB$31*VALORI!$B$4)+(AB$32*VALORI!$B$3)+(AB$33*VALORI!$B$5),0)</f>
        <v>103</v>
      </c>
      <c r="AC64" s="28">
        <f>IF(AC9&gt;0, (AC$30*VALORI!$B$4)+(AC$31*VALORI!$B$4)+(AC$32*VALORI!$B$3)+(AC$33*VALORI!$B$5),0)</f>
        <v>794</v>
      </c>
      <c r="AD64" s="28">
        <f>IF(AD9&gt;0, (AD$30*VALORI!$B$4)+(AD$31*VALORI!$B$4)+(AD$32*VALORI!$B$3)+(AD$33*VALORI!$B$5),0)</f>
        <v>2354</v>
      </c>
      <c r="AE64" s="28">
        <f>IF(AE9&gt;0, (AE$30*VALORI!$B$4)+(AE$31*VALORI!$B$4)+(AE$32*VALORI!$B$3)+(AE$33*VALORI!$B$5),0)</f>
        <v>1268</v>
      </c>
      <c r="AF64" s="28">
        <f>IF(AF9&gt;0, (AF$30*VALORI!$B$4)+(AF$31*VALORI!$B$4)+(AF$32*VALORI!$B$3)+(AF$33*VALORI!$B$5),0)</f>
        <v>1123</v>
      </c>
      <c r="AG64" s="28">
        <f>IF(AG9&gt;0, (AG$30*VALORI!$B$4)+(AG$31*VALORI!$B$4)+(AG$32*VALORI!$B$3)+(AG$33*VALORI!$B$5),0)</f>
        <v>821</v>
      </c>
      <c r="AH64" s="28">
        <f>IF(AH9&gt;0, (AH$30*VALORI!$B$4)+(AH$31*VALORI!$B$4)+(AH$32*VALORI!$B$3)+(AH$33*VALORI!$B$5),0)</f>
        <v>148</v>
      </c>
      <c r="AI64" s="28">
        <f>IF(AI9&gt;0, (AI$30*VALORI!$B$4)+(AI$31*VALORI!$B$4)+(AI$32*VALORI!$B$3)+(AI$33*VALORI!$B$5),0)</f>
        <v>1600</v>
      </c>
      <c r="AJ64" s="28">
        <f>IF(AJ9&gt;0, (AJ$30*VALORI!$B$4)+(AJ$31*VALORI!$B$4)+(AJ$32*VALORI!$B$3)+(AJ$33*VALORI!$B$5),0)</f>
        <v>2249</v>
      </c>
      <c r="AK64" s="28">
        <f>IF(AK9&gt;0, (AK$30*VALORI!$B$4)+(AK$31*VALORI!$B$4)+(AK$32*VALORI!$B$3)+(AK$33*VALORI!$B$5),0)</f>
        <v>0</v>
      </c>
      <c r="AL64" s="28">
        <f>IF(AL9&gt;0, (AL$30*VALORI!$B$4)+(AL$31*VALORI!$B$4)+(AL$32*VALORI!$B$3)+(AL$33*VALORI!$B$5),0)</f>
        <v>0</v>
      </c>
      <c r="AM64" s="28">
        <f>IF(AM9&gt;0, (AM$30*VALORI!$B$4)+(AM$31*VALORI!$B$4)+(AM$32*VALORI!$B$3)+(AM$33*VALORI!$B$5),0)</f>
        <v>642</v>
      </c>
      <c r="AN64" s="28">
        <f>IF(AN9&gt;0, (AN$30*VALORI!$B$4)+(AN$31*VALORI!$B$4)+(AN$32*VALORI!$B$3)+(AN$33*VALORI!$B$5),0)</f>
        <v>0</v>
      </c>
      <c r="AO64" s="28">
        <f>IF(AO9&gt;0, (AO$30*VALORI!$B$4)+(AO$31*VALORI!$B$4)+(AO$32*VALORI!$B$3)+(AO$33*VALORI!$B$5),0)</f>
        <v>1484</v>
      </c>
    </row>
    <row r="65" spans="23:41" ht="15.75" x14ac:dyDescent="0.25">
      <c r="W65" s="28">
        <f>IF(W10&gt;0, (W$30*VALORI!$B$4)+(W$31*VALORI!$B$4)+(W$32*VALORI!$B$3)+(W$33*VALORI!$B$5),0)</f>
        <v>1240</v>
      </c>
      <c r="X65" s="28">
        <f>IF(X10&gt;0, (X$30*VALORI!$B$4)+(X$31*VALORI!$B$4)+(X$32*VALORI!$B$3)+(X$33*VALORI!$B$5),0)</f>
        <v>3720</v>
      </c>
      <c r="Y65" s="28">
        <f>IF(Y10&gt;0, (Y$30*VALORI!$B$4)+(Y$31*VALORI!$B$4)+(Y$32*VALORI!$B$3)+(Y$33*VALORI!$B$5),0)</f>
        <v>992</v>
      </c>
      <c r="Z65" s="28">
        <f>IF(Z10&gt;0, (Z$30*VALORI!$B$4)+(Z$31*VALORI!$B$4)+(Z$32*VALORI!$B$3)+(Z$33*VALORI!$B$5),0)</f>
        <v>992</v>
      </c>
      <c r="AA65" s="28">
        <f>IF(AA10&gt;0, (AA$30*VALORI!$B$4)+(AA$31*VALORI!$B$4)+(AA$32*VALORI!$B$3)+(AA$33*VALORI!$B$5),0)</f>
        <v>876</v>
      </c>
      <c r="AB65" s="28">
        <f>IF(AB10&gt;0, (AB$30*VALORI!$B$4)+(AB$31*VALORI!$B$4)+(AB$32*VALORI!$B$3)+(AB$33*VALORI!$B$5),0)</f>
        <v>103</v>
      </c>
      <c r="AC65" s="28">
        <f>IF(AC10&gt;0, (AC$30*VALORI!$B$4)+(AC$31*VALORI!$B$4)+(AC$32*VALORI!$B$3)+(AC$33*VALORI!$B$5),0)</f>
        <v>794</v>
      </c>
      <c r="AD65" s="28">
        <f>IF(AD10&gt;0, (AD$30*VALORI!$B$4)+(AD$31*VALORI!$B$4)+(AD$32*VALORI!$B$3)+(AD$33*VALORI!$B$5),0)</f>
        <v>2354</v>
      </c>
      <c r="AE65" s="28">
        <f>IF(AE10&gt;0, (AE$30*VALORI!$B$4)+(AE$31*VALORI!$B$4)+(AE$32*VALORI!$B$3)+(AE$33*VALORI!$B$5),0)</f>
        <v>1268</v>
      </c>
      <c r="AF65" s="28">
        <f>IF(AF10&gt;0, (AF$30*VALORI!$B$4)+(AF$31*VALORI!$B$4)+(AF$32*VALORI!$B$3)+(AF$33*VALORI!$B$5),0)</f>
        <v>1123</v>
      </c>
      <c r="AG65" s="28">
        <f>IF(AG10&gt;0, (AG$30*VALORI!$B$4)+(AG$31*VALORI!$B$4)+(AG$32*VALORI!$B$3)+(AG$33*VALORI!$B$5),0)</f>
        <v>821</v>
      </c>
      <c r="AH65" s="28">
        <f>IF(AH10&gt;0, (AH$30*VALORI!$B$4)+(AH$31*VALORI!$B$4)+(AH$32*VALORI!$B$3)+(AH$33*VALORI!$B$5),0)</f>
        <v>148</v>
      </c>
      <c r="AI65" s="28">
        <f>IF(AI10&gt;0, (AI$30*VALORI!$B$4)+(AI$31*VALORI!$B$4)+(AI$32*VALORI!$B$3)+(AI$33*VALORI!$B$5),0)</f>
        <v>1600</v>
      </c>
      <c r="AJ65" s="28">
        <f>IF(AJ10&gt;0, (AJ$30*VALORI!$B$4)+(AJ$31*VALORI!$B$4)+(AJ$32*VALORI!$B$3)+(AJ$33*VALORI!$B$5),0)</f>
        <v>2249</v>
      </c>
      <c r="AK65" s="28">
        <f>IF(AK10&gt;0, (AK$30*VALORI!$B$4)+(AK$31*VALORI!$B$4)+(AK$32*VALORI!$B$3)+(AK$33*VALORI!$B$5),0)</f>
        <v>0</v>
      </c>
      <c r="AL65" s="28">
        <f>IF(AL10&gt;0, (AL$30*VALORI!$B$4)+(AL$31*VALORI!$B$4)+(AL$32*VALORI!$B$3)+(AL$33*VALORI!$B$5),0)</f>
        <v>0</v>
      </c>
      <c r="AM65" s="28">
        <f>IF(AM10&gt;0, (AM$30*VALORI!$B$4)+(AM$31*VALORI!$B$4)+(AM$32*VALORI!$B$3)+(AM$33*VALORI!$B$5),0)</f>
        <v>642</v>
      </c>
      <c r="AN65" s="28">
        <f>IF(AN10&gt;0, (AN$30*VALORI!$B$4)+(AN$31*VALORI!$B$4)+(AN$32*VALORI!$B$3)+(AN$33*VALORI!$B$5),0)</f>
        <v>0</v>
      </c>
      <c r="AO65" s="28">
        <f>IF(AO10&gt;0, (AO$30*VALORI!$B$4)+(AO$31*VALORI!$B$4)+(AO$32*VALORI!$B$3)+(AO$33*VALORI!$B$5),0)</f>
        <v>1484</v>
      </c>
    </row>
    <row r="66" spans="23:41" ht="15.75" x14ac:dyDescent="0.25">
      <c r="W66" s="28">
        <f>IF(W11&gt;0, (W$30*VALORI!$B$4)+(W$31*VALORI!$B$4)+(W$32*VALORI!$B$3)+(W$33*VALORI!$B$5),0)</f>
        <v>1240</v>
      </c>
      <c r="X66" s="28">
        <f>IF(X11&gt;0, (X$30*VALORI!$B$4)+(X$31*VALORI!$B$4)+(X$32*VALORI!$B$3)+(X$33*VALORI!$B$5),0)</f>
        <v>3720</v>
      </c>
      <c r="Y66" s="28">
        <f>IF(Y11&gt;0, (Y$30*VALORI!$B$4)+(Y$31*VALORI!$B$4)+(Y$32*VALORI!$B$3)+(Y$33*VALORI!$B$5),0)</f>
        <v>992</v>
      </c>
      <c r="Z66" s="28">
        <f>IF(Z11&gt;0, (Z$30*VALORI!$B$4)+(Z$31*VALORI!$B$4)+(Z$32*VALORI!$B$3)+(Z$33*VALORI!$B$5),0)</f>
        <v>992</v>
      </c>
      <c r="AA66" s="28">
        <f>IF(AA11&gt;0, (AA$30*VALORI!$B$4)+(AA$31*VALORI!$B$4)+(AA$32*VALORI!$B$3)+(AA$33*VALORI!$B$5),0)</f>
        <v>876</v>
      </c>
      <c r="AB66" s="28">
        <f>IF(AB11&gt;0, (AB$30*VALORI!$B$4)+(AB$31*VALORI!$B$4)+(AB$32*VALORI!$B$3)+(AB$33*VALORI!$B$5),0)</f>
        <v>103</v>
      </c>
      <c r="AC66" s="28">
        <f>IF(AC11&gt;0, (AC$30*VALORI!$B$4)+(AC$31*VALORI!$B$4)+(AC$32*VALORI!$B$3)+(AC$33*VALORI!$B$5),0)</f>
        <v>794</v>
      </c>
      <c r="AD66" s="28">
        <f>IF(AD11&gt;0, (AD$30*VALORI!$B$4)+(AD$31*VALORI!$B$4)+(AD$32*VALORI!$B$3)+(AD$33*VALORI!$B$5),0)</f>
        <v>2354</v>
      </c>
      <c r="AE66" s="28">
        <f>IF(AE11&gt;0, (AE$30*VALORI!$B$4)+(AE$31*VALORI!$B$4)+(AE$32*VALORI!$B$3)+(AE$33*VALORI!$B$5),0)</f>
        <v>1268</v>
      </c>
      <c r="AF66" s="28">
        <f>IF(AF11&gt;0, (AF$30*VALORI!$B$4)+(AF$31*VALORI!$B$4)+(AF$32*VALORI!$B$3)+(AF$33*VALORI!$B$5),0)</f>
        <v>1123</v>
      </c>
      <c r="AG66" s="28">
        <f>IF(AG11&gt;0, (AG$30*VALORI!$B$4)+(AG$31*VALORI!$B$4)+(AG$32*VALORI!$B$3)+(AG$33*VALORI!$B$5),0)</f>
        <v>821</v>
      </c>
      <c r="AH66" s="28">
        <f>IF(AH11&gt;0, (AH$30*VALORI!$B$4)+(AH$31*VALORI!$B$4)+(AH$32*VALORI!$B$3)+(AH$33*VALORI!$B$5),0)</f>
        <v>148</v>
      </c>
      <c r="AI66" s="28">
        <f>IF(AI11&gt;0, (AI$30*VALORI!$B$4)+(AI$31*VALORI!$B$4)+(AI$32*VALORI!$B$3)+(AI$33*VALORI!$B$5),0)</f>
        <v>1600</v>
      </c>
      <c r="AJ66" s="28">
        <f>IF(AJ11&gt;0, (AJ$30*VALORI!$B$4)+(AJ$31*VALORI!$B$4)+(AJ$32*VALORI!$B$3)+(AJ$33*VALORI!$B$5),0)</f>
        <v>2249</v>
      </c>
      <c r="AK66" s="28">
        <f>IF(AK11&gt;0, (AK$30*VALORI!$B$4)+(AK$31*VALORI!$B$4)+(AK$32*VALORI!$B$3)+(AK$33*VALORI!$B$5),0)</f>
        <v>0</v>
      </c>
      <c r="AL66" s="28">
        <f>IF(AL11&gt;0, (AL$30*VALORI!$B$4)+(AL$31*VALORI!$B$4)+(AL$32*VALORI!$B$3)+(AL$33*VALORI!$B$5),0)</f>
        <v>0</v>
      </c>
      <c r="AM66" s="28">
        <f>IF(AM11&gt;0, (AM$30*VALORI!$B$4)+(AM$31*VALORI!$B$4)+(AM$32*VALORI!$B$3)+(AM$33*VALORI!$B$5),0)</f>
        <v>642</v>
      </c>
      <c r="AN66" s="28">
        <f>IF(AN11&gt;0, (AN$30*VALORI!$B$4)+(AN$31*VALORI!$B$4)+(AN$32*VALORI!$B$3)+(AN$33*VALORI!$B$5),0)</f>
        <v>0</v>
      </c>
      <c r="AO66" s="28">
        <f>IF(AO11&gt;0, (AO$30*VALORI!$B$4)+(AO$31*VALORI!$B$4)+(AO$32*VALORI!$B$3)+(AO$33*VALORI!$B$5),0)</f>
        <v>1484</v>
      </c>
    </row>
    <row r="67" spans="23:41" ht="15.75" x14ac:dyDescent="0.25">
      <c r="W67" s="28">
        <f>IF(W12&gt;0, (W$30*VALORI!$B$4)+(W$31*VALORI!$B$4)+(W$32*VALORI!$B$3)+(W$33*VALORI!$B$5),0)</f>
        <v>1240</v>
      </c>
      <c r="X67" s="28">
        <f>IF(X12&gt;0, (X$30*VALORI!$B$4)+(X$31*VALORI!$B$4)+(X$32*VALORI!$B$3)+(X$33*VALORI!$B$5),0)</f>
        <v>3720</v>
      </c>
      <c r="Y67" s="28">
        <f>IF(Y12&gt;0, (Y$30*VALORI!$B$4)+(Y$31*VALORI!$B$4)+(Y$32*VALORI!$B$3)+(Y$33*VALORI!$B$5),0)</f>
        <v>992</v>
      </c>
      <c r="Z67" s="28">
        <f>IF(Z12&gt;0, (Z$30*VALORI!$B$4)+(Z$31*VALORI!$B$4)+(Z$32*VALORI!$B$3)+(Z$33*VALORI!$B$5),0)</f>
        <v>992</v>
      </c>
      <c r="AA67" s="28">
        <f>IF(AA12&gt;0, (AA$30*VALORI!$B$4)+(AA$31*VALORI!$B$4)+(AA$32*VALORI!$B$3)+(AA$33*VALORI!$B$5),0)</f>
        <v>876</v>
      </c>
      <c r="AB67" s="28">
        <f>IF(AB12&gt;0, (AB$30*VALORI!$B$4)+(AB$31*VALORI!$B$4)+(AB$32*VALORI!$B$3)+(AB$33*VALORI!$B$5),0)</f>
        <v>103</v>
      </c>
      <c r="AC67" s="28">
        <f>IF(AC12&gt;0, (AC$30*VALORI!$B$4)+(AC$31*VALORI!$B$4)+(AC$32*VALORI!$B$3)+(AC$33*VALORI!$B$5),0)</f>
        <v>794</v>
      </c>
      <c r="AD67" s="28">
        <f>IF(AD12&gt;0, (AD$30*VALORI!$B$4)+(AD$31*VALORI!$B$4)+(AD$32*VALORI!$B$3)+(AD$33*VALORI!$B$5),0)</f>
        <v>2354</v>
      </c>
      <c r="AE67" s="28">
        <f>IF(AE12&gt;0, (AE$30*VALORI!$B$4)+(AE$31*VALORI!$B$4)+(AE$32*VALORI!$B$3)+(AE$33*VALORI!$B$5),0)</f>
        <v>1268</v>
      </c>
      <c r="AF67" s="28">
        <f>IF(AF12&gt;0, (AF$30*VALORI!$B$4)+(AF$31*VALORI!$B$4)+(AF$32*VALORI!$B$3)+(AF$33*VALORI!$B$5),0)</f>
        <v>1123</v>
      </c>
      <c r="AG67" s="28">
        <f>IF(AG12&gt;0, (AG$30*VALORI!$B$4)+(AG$31*VALORI!$B$4)+(AG$32*VALORI!$B$3)+(AG$33*VALORI!$B$5),0)</f>
        <v>821</v>
      </c>
      <c r="AH67" s="28">
        <f>IF(AH12&gt;0, (AH$30*VALORI!$B$4)+(AH$31*VALORI!$B$4)+(AH$32*VALORI!$B$3)+(AH$33*VALORI!$B$5),0)</f>
        <v>148</v>
      </c>
      <c r="AI67" s="28">
        <f>IF(AI12&gt;0, (AI$30*VALORI!$B$4)+(AI$31*VALORI!$B$4)+(AI$32*VALORI!$B$3)+(AI$33*VALORI!$B$5),0)</f>
        <v>1600</v>
      </c>
      <c r="AJ67" s="28">
        <f>IF(AJ12&gt;0, (AJ$30*VALORI!$B$4)+(AJ$31*VALORI!$B$4)+(AJ$32*VALORI!$B$3)+(AJ$33*VALORI!$B$5),0)</f>
        <v>2249</v>
      </c>
      <c r="AK67" s="28">
        <f>IF(AK12&gt;0, (AK$30*VALORI!$B$4)+(AK$31*VALORI!$B$4)+(AK$32*VALORI!$B$3)+(AK$33*VALORI!$B$5),0)</f>
        <v>0</v>
      </c>
      <c r="AL67" s="28">
        <f>IF(AL12&gt;0, (AL$30*VALORI!$B$4)+(AL$31*VALORI!$B$4)+(AL$32*VALORI!$B$3)+(AL$33*VALORI!$B$5),0)</f>
        <v>0</v>
      </c>
      <c r="AM67" s="28">
        <f>IF(AM12&gt;0, (AM$30*VALORI!$B$4)+(AM$31*VALORI!$B$4)+(AM$32*VALORI!$B$3)+(AM$33*VALORI!$B$5),0)</f>
        <v>642</v>
      </c>
      <c r="AN67" s="28">
        <f>IF(AN12&gt;0, (AN$30*VALORI!$B$4)+(AN$31*VALORI!$B$4)+(AN$32*VALORI!$B$3)+(AN$33*VALORI!$B$5),0)</f>
        <v>0</v>
      </c>
      <c r="AO67" s="28">
        <f>IF(AO12&gt;0, (AO$30*VALORI!$B$4)+(AO$31*VALORI!$B$4)+(AO$32*VALORI!$B$3)+(AO$33*VALORI!$B$5),0)</f>
        <v>1484</v>
      </c>
    </row>
    <row r="68" spans="23:41" ht="15.75" x14ac:dyDescent="0.25">
      <c r="W68" s="28">
        <f>IF(W13&gt;0, (W$30*VALORI!$B$4)+(W$31*VALORI!$B$4)+(W$32*VALORI!$B$3)+(W$33*VALORI!$B$5),0)</f>
        <v>1240</v>
      </c>
      <c r="X68" s="28">
        <f>IF(X13&gt;0, (X$30*VALORI!$B$4)+(X$31*VALORI!$B$4)+(X$32*VALORI!$B$3)+(X$33*VALORI!$B$5),0)</f>
        <v>3720</v>
      </c>
      <c r="Y68" s="28">
        <f>IF(Y13&gt;0, (Y$30*VALORI!$B$4)+(Y$31*VALORI!$B$4)+(Y$32*VALORI!$B$3)+(Y$33*VALORI!$B$5),0)</f>
        <v>992</v>
      </c>
      <c r="Z68" s="28">
        <f>IF(Z13&gt;0, (Z$30*VALORI!$B$4)+(Z$31*VALORI!$B$4)+(Z$32*VALORI!$B$3)+(Z$33*VALORI!$B$5),0)</f>
        <v>992</v>
      </c>
      <c r="AA68" s="28">
        <f>IF(AA13&gt;0, (AA$30*VALORI!$B$4)+(AA$31*VALORI!$B$4)+(AA$32*VALORI!$B$3)+(AA$33*VALORI!$B$5),0)</f>
        <v>876</v>
      </c>
      <c r="AB68" s="28">
        <f>IF(AB13&gt;0, (AB$30*VALORI!$B$4)+(AB$31*VALORI!$B$4)+(AB$32*VALORI!$B$3)+(AB$33*VALORI!$B$5),0)</f>
        <v>103</v>
      </c>
      <c r="AC68" s="28">
        <f>IF(AC13&gt;0, (AC$30*VALORI!$B$4)+(AC$31*VALORI!$B$4)+(AC$32*VALORI!$B$3)+(AC$33*VALORI!$B$5),0)</f>
        <v>794</v>
      </c>
      <c r="AD68" s="28">
        <f>IF(AD13&gt;0, (AD$30*VALORI!$B$4)+(AD$31*VALORI!$B$4)+(AD$32*VALORI!$B$3)+(AD$33*VALORI!$B$5),0)</f>
        <v>2354</v>
      </c>
      <c r="AE68" s="28">
        <f>IF(AE13&gt;0, (AE$30*VALORI!$B$4)+(AE$31*VALORI!$B$4)+(AE$32*VALORI!$B$3)+(AE$33*VALORI!$B$5),0)</f>
        <v>1268</v>
      </c>
      <c r="AF68" s="28">
        <f>IF(AF13&gt;0, (AF$30*VALORI!$B$4)+(AF$31*VALORI!$B$4)+(AF$32*VALORI!$B$3)+(AF$33*VALORI!$B$5),0)</f>
        <v>1123</v>
      </c>
      <c r="AG68" s="28">
        <f>IF(AG13&gt;0, (AG$30*VALORI!$B$4)+(AG$31*VALORI!$B$4)+(AG$32*VALORI!$B$3)+(AG$33*VALORI!$B$5),0)</f>
        <v>821</v>
      </c>
      <c r="AH68" s="28">
        <f>IF(AH13&gt;0, (AH$30*VALORI!$B$4)+(AH$31*VALORI!$B$4)+(AH$32*VALORI!$B$3)+(AH$33*VALORI!$B$5),0)</f>
        <v>148</v>
      </c>
      <c r="AI68" s="28">
        <f>IF(AI13&gt;0, (AI$30*VALORI!$B$4)+(AI$31*VALORI!$B$4)+(AI$32*VALORI!$B$3)+(AI$33*VALORI!$B$5),0)</f>
        <v>1600</v>
      </c>
      <c r="AJ68" s="28">
        <f>IF(AJ13&gt;0, (AJ$30*VALORI!$B$4)+(AJ$31*VALORI!$B$4)+(AJ$32*VALORI!$B$3)+(AJ$33*VALORI!$B$5),0)</f>
        <v>2249</v>
      </c>
      <c r="AK68" s="28">
        <f>IF(AK13&gt;0, (AK$30*VALORI!$B$4)+(AK$31*VALORI!$B$4)+(AK$32*VALORI!$B$3)+(AK$33*VALORI!$B$5),0)</f>
        <v>0</v>
      </c>
      <c r="AL68" s="28">
        <f>IF(AL13&gt;0, (AL$30*VALORI!$B$4)+(AL$31*VALORI!$B$4)+(AL$32*VALORI!$B$3)+(AL$33*VALORI!$B$5),0)</f>
        <v>0</v>
      </c>
      <c r="AM68" s="28">
        <f>IF(AM13&gt;0, (AM$30*VALORI!$B$4)+(AM$31*VALORI!$B$4)+(AM$32*VALORI!$B$3)+(AM$33*VALORI!$B$5),0)</f>
        <v>642</v>
      </c>
      <c r="AN68" s="28">
        <f>IF(AN13&gt;0, (AN$30*VALORI!$B$4)+(AN$31*VALORI!$B$4)+(AN$32*VALORI!$B$3)+(AN$33*VALORI!$B$5),0)</f>
        <v>0</v>
      </c>
      <c r="AO68" s="28">
        <f>IF(AO13&gt;0, (AO$30*VALORI!$B$4)+(AO$31*VALORI!$B$4)+(AO$32*VALORI!$B$3)+(AO$33*VALORI!$B$5),0)</f>
        <v>1484</v>
      </c>
    </row>
    <row r="69" spans="23:41" ht="15.75" x14ac:dyDescent="0.25">
      <c r="W69" s="28">
        <f>IF(W14&gt;0, (W$30*VALORI!$B$4)+(W$31*VALORI!$B$4)+(W$32*VALORI!$B$3)+(W$33*VALORI!$B$5),0)</f>
        <v>1240</v>
      </c>
      <c r="X69" s="28">
        <f>IF(X14&gt;0, (X$30*VALORI!$B$4)+(X$31*VALORI!$B$4)+(X$32*VALORI!$B$3)+(X$33*VALORI!$B$5),0)</f>
        <v>3720</v>
      </c>
      <c r="Y69" s="28">
        <f>IF(Y14&gt;0, (Y$30*VALORI!$B$4)+(Y$31*VALORI!$B$4)+(Y$32*VALORI!$B$3)+(Y$33*VALORI!$B$5),0)</f>
        <v>992</v>
      </c>
      <c r="Z69" s="28">
        <f>IF(Z14&gt;0, (Z$30*VALORI!$B$4)+(Z$31*VALORI!$B$4)+(Z$32*VALORI!$B$3)+(Z$33*VALORI!$B$5),0)</f>
        <v>992</v>
      </c>
      <c r="AA69" s="28">
        <f>IF(AA14&gt;0, (AA$30*VALORI!$B$4)+(AA$31*VALORI!$B$4)+(AA$32*VALORI!$B$3)+(AA$33*VALORI!$B$5),0)</f>
        <v>876</v>
      </c>
      <c r="AB69" s="28">
        <f>IF(AB14&gt;0, (AB$30*VALORI!$B$4)+(AB$31*VALORI!$B$4)+(AB$32*VALORI!$B$3)+(AB$33*VALORI!$B$5),0)</f>
        <v>103</v>
      </c>
      <c r="AC69" s="28">
        <f>IF(AC14&gt;0, (AC$30*VALORI!$B$4)+(AC$31*VALORI!$B$4)+(AC$32*VALORI!$B$3)+(AC$33*VALORI!$B$5),0)</f>
        <v>794</v>
      </c>
      <c r="AD69" s="28">
        <f>IF(AD14&gt;0, (AD$30*VALORI!$B$4)+(AD$31*VALORI!$B$4)+(AD$32*VALORI!$B$3)+(AD$33*VALORI!$B$5),0)</f>
        <v>2354</v>
      </c>
      <c r="AE69" s="28">
        <f>IF(AE14&gt;0, (AE$30*VALORI!$B$4)+(AE$31*VALORI!$B$4)+(AE$32*VALORI!$B$3)+(AE$33*VALORI!$B$5),0)</f>
        <v>1268</v>
      </c>
      <c r="AF69" s="28">
        <f>IF(AF14&gt;0, (AF$30*VALORI!$B$4)+(AF$31*VALORI!$B$4)+(AF$32*VALORI!$B$3)+(AF$33*VALORI!$B$5),0)</f>
        <v>1123</v>
      </c>
      <c r="AG69" s="28">
        <f>IF(AG14&gt;0, (AG$30*VALORI!$B$4)+(AG$31*VALORI!$B$4)+(AG$32*VALORI!$B$3)+(AG$33*VALORI!$B$5),0)</f>
        <v>821</v>
      </c>
      <c r="AH69" s="28">
        <f>IF(AH14&gt;0, (AH$30*VALORI!$B$4)+(AH$31*VALORI!$B$4)+(AH$32*VALORI!$B$3)+(AH$33*VALORI!$B$5),0)</f>
        <v>148</v>
      </c>
      <c r="AI69" s="28">
        <f>IF(AI14&gt;0, (AI$30*VALORI!$B$4)+(AI$31*VALORI!$B$4)+(AI$32*VALORI!$B$3)+(AI$33*VALORI!$B$5),0)</f>
        <v>1600</v>
      </c>
      <c r="AJ69" s="28">
        <f>IF(AJ14&gt;0, (AJ$30*VALORI!$B$4)+(AJ$31*VALORI!$B$4)+(AJ$32*VALORI!$B$3)+(AJ$33*VALORI!$B$5),0)</f>
        <v>2249</v>
      </c>
      <c r="AK69" s="28">
        <f>IF(AK14&gt;0, (AK$30*VALORI!$B$4)+(AK$31*VALORI!$B$4)+(AK$32*VALORI!$B$3)+(AK$33*VALORI!$B$5),0)</f>
        <v>0</v>
      </c>
      <c r="AL69" s="28">
        <f>IF(AL14&gt;0, (AL$30*VALORI!$B$4)+(AL$31*VALORI!$B$4)+(AL$32*VALORI!$B$3)+(AL$33*VALORI!$B$5),0)</f>
        <v>0</v>
      </c>
      <c r="AM69" s="28">
        <f>IF(AM14&gt;0, (AM$30*VALORI!$B$4)+(AM$31*VALORI!$B$4)+(AM$32*VALORI!$B$3)+(AM$33*VALORI!$B$5),0)</f>
        <v>642</v>
      </c>
      <c r="AN69" s="28">
        <f>IF(AN14&gt;0, (AN$30*VALORI!$B$4)+(AN$31*VALORI!$B$4)+(AN$32*VALORI!$B$3)+(AN$33*VALORI!$B$5),0)</f>
        <v>0</v>
      </c>
      <c r="AO69" s="28">
        <f>IF(AO14&gt;0, (AO$30*VALORI!$B$4)+(AO$31*VALORI!$B$4)+(AO$32*VALORI!$B$3)+(AO$33*VALORI!$B$5),0)</f>
        <v>1484</v>
      </c>
    </row>
    <row r="70" spans="23:41" ht="15.75" x14ac:dyDescent="0.25">
      <c r="W70" s="28">
        <f>IF(W15&gt;0, (W$30*VALORI!$B$4)+(W$31*VALORI!$B$4)+(W$32*VALORI!$B$3)+(W$33*VALORI!$B$5),0)</f>
        <v>0</v>
      </c>
      <c r="X70" s="28">
        <f>IF(X15&gt;0, (X$30*VALORI!$B$4)+(X$31*VALORI!$B$4)+(X$32*VALORI!$B$3)+(X$33*VALORI!$B$5),0)</f>
        <v>0</v>
      </c>
      <c r="Y70" s="28">
        <f>IF(Y15&gt;0, (Y$30*VALORI!$B$4)+(Y$31*VALORI!$B$4)+(Y$32*VALORI!$B$3)+(Y$33*VALORI!$B$5),0)</f>
        <v>0</v>
      </c>
      <c r="Z70" s="28">
        <f>IF(Z15&gt;0, (Z$30*VALORI!$B$4)+(Z$31*VALORI!$B$4)+(Z$32*VALORI!$B$3)+(Z$33*VALORI!$B$5),0)</f>
        <v>0</v>
      </c>
      <c r="AA70" s="28">
        <f>IF(AA15&gt;0, (AA$30*VALORI!$B$4)+(AA$31*VALORI!$B$4)+(AA$32*VALORI!$B$3)+(AA$33*VALORI!$B$5),0)</f>
        <v>0</v>
      </c>
      <c r="AB70" s="28">
        <f>IF(AB15&gt;0, (AB$30*VALORI!$B$4)+(AB$31*VALORI!$B$4)+(AB$32*VALORI!$B$3)+(AB$33*VALORI!$B$5),0)</f>
        <v>0</v>
      </c>
      <c r="AC70" s="28">
        <f>IF(AC15&gt;0, (AC$30*VALORI!$B$4)+(AC$31*VALORI!$B$4)+(AC$32*VALORI!$B$3)+(AC$33*VALORI!$B$5),0)</f>
        <v>0</v>
      </c>
      <c r="AD70" s="28">
        <f>IF(AD15&gt;0, (AD$30*VALORI!$B$4)+(AD$31*VALORI!$B$4)+(AD$32*VALORI!$B$3)+(AD$33*VALORI!$B$5),0)</f>
        <v>0</v>
      </c>
      <c r="AE70" s="28">
        <f>IF(AE15&gt;0, (AE$30*VALORI!$B$4)+(AE$31*VALORI!$B$4)+(AE$32*VALORI!$B$3)+(AE$33*VALORI!$B$5),0)</f>
        <v>0</v>
      </c>
      <c r="AF70" s="28">
        <f>IF(AF15&gt;0, (AF$30*VALORI!$B$4)+(AF$31*VALORI!$B$4)+(AF$32*VALORI!$B$3)+(AF$33*VALORI!$B$5),0)</f>
        <v>0</v>
      </c>
      <c r="AG70" s="28">
        <f>IF(AG15&gt;0, (AG$30*VALORI!$B$4)+(AG$31*VALORI!$B$4)+(AG$32*VALORI!$B$3)+(AG$33*VALORI!$B$5),0)</f>
        <v>0</v>
      </c>
      <c r="AH70" s="28">
        <f>IF(AH15&gt;0, (AH$30*VALORI!$B$4)+(AH$31*VALORI!$B$4)+(AH$32*VALORI!$B$3)+(AH$33*VALORI!$B$5),0)</f>
        <v>0</v>
      </c>
      <c r="AI70" s="28">
        <f>IF(AI15&gt;0, (AI$30*VALORI!$B$4)+(AI$31*VALORI!$B$4)+(AI$32*VALORI!$B$3)+(AI$33*VALORI!$B$5),0)</f>
        <v>0</v>
      </c>
      <c r="AJ70" s="28">
        <f>IF(AJ15&gt;0, (AJ$30*VALORI!$B$4)+(AJ$31*VALORI!$B$4)+(AJ$32*VALORI!$B$3)+(AJ$33*VALORI!$B$5),0)</f>
        <v>0</v>
      </c>
      <c r="AK70" s="28">
        <f>IF(AK15&gt;0, (AK$30*VALORI!$B$4)+(AK$31*VALORI!$B$4)+(AK$32*VALORI!$B$3)+(AK$33*VALORI!$B$5),0)</f>
        <v>0</v>
      </c>
      <c r="AL70" s="28">
        <f>IF(AL15&gt;0, (AL$30*VALORI!$B$4)+(AL$31*VALORI!$B$4)+(AL$32*VALORI!$B$3)+(AL$33*VALORI!$B$5),0)</f>
        <v>0</v>
      </c>
      <c r="AM70" s="28">
        <f>IF(AM15&gt;0, (AM$30*VALORI!$B$4)+(AM$31*VALORI!$B$4)+(AM$32*VALORI!$B$3)+(AM$33*VALORI!$B$5),0)</f>
        <v>0</v>
      </c>
      <c r="AN70" s="28">
        <f>IF(AN15&gt;0, (AN$30*VALORI!$B$4)+(AN$31*VALORI!$B$4)+(AN$32*VALORI!$B$3)+(AN$33*VALORI!$B$5),0)</f>
        <v>0</v>
      </c>
      <c r="AO70" s="28">
        <f>IF(AO15&gt;0, (AO$30*VALORI!$B$4)+(AO$31*VALORI!$B$4)+(AO$32*VALORI!$B$3)+(AO$33*VALORI!$B$5),0)</f>
        <v>0</v>
      </c>
    </row>
    <row r="71" spans="23:41" ht="15.75" x14ac:dyDescent="0.25">
      <c r="W71" s="28">
        <f>IF(W25&gt;0, (W$30*VALORI!$B$4)+(W$31*VALORI!$B$4)+(W$32*VALORI!$B$3)+(W$33*VALORI!$B$5),0)</f>
        <v>0</v>
      </c>
      <c r="X71" s="28">
        <f>IF(X25&gt;0, (X$30*VALORI!$B$4)+(X$31*VALORI!$B$4)+(X$32*VALORI!$B$3)+(X$33*VALORI!$B$5),0)</f>
        <v>0</v>
      </c>
      <c r="Y71" s="28">
        <f>IF(Y25&gt;0, (Y$30*VALORI!$B$4)+(Y$31*VALORI!$B$4)+(Y$32*VALORI!$B$3)+(Y$33*VALORI!$B$5),0)</f>
        <v>0</v>
      </c>
      <c r="Z71" s="28">
        <f>IF(Z25&gt;0, (Z$30*VALORI!$B$4)+(Z$31*VALORI!$B$4)+(Z$32*VALORI!$B$3)+(Z$33*VALORI!$B$5),0)</f>
        <v>0</v>
      </c>
      <c r="AA71" s="28">
        <f>IF(AA25&gt;0, (AA$30*VALORI!$B$4)+(AA$31*VALORI!$B$4)+(AA$32*VALORI!$B$3)+(AA$33*VALORI!$B$5),0)</f>
        <v>0</v>
      </c>
      <c r="AB71" s="28">
        <f>IF(AB25&gt;0, (AB$30*VALORI!$B$4)+(AB$31*VALORI!$B$4)+(AB$32*VALORI!$B$3)+(AB$33*VALORI!$B$5),0)</f>
        <v>0</v>
      </c>
      <c r="AC71" s="28">
        <f>IF(AC25&gt;0, (AC$30*VALORI!$B$4)+(AC$31*VALORI!$B$4)+(AC$32*VALORI!$B$3)+(AC$33*VALORI!$B$5),0)</f>
        <v>0</v>
      </c>
      <c r="AD71" s="28">
        <f>IF(AD25&gt;0, (AD$30*VALORI!$B$4)+(AD$31*VALORI!$B$4)+(AD$32*VALORI!$B$3)+(AD$33*VALORI!$B$5),0)</f>
        <v>0</v>
      </c>
      <c r="AE71" s="28">
        <f>IF(AE25&gt;0, (AE$30*VALORI!$B$4)+(AE$31*VALORI!$B$4)+(AE$32*VALORI!$B$3)+(AE$33*VALORI!$B$5),0)</f>
        <v>0</v>
      </c>
      <c r="AF71" s="28">
        <f>IF(AF25&gt;0, (AF$30*VALORI!$B$4)+(AF$31*VALORI!$B$4)+(AF$32*VALORI!$B$3)+(AF$33*VALORI!$B$5),0)</f>
        <v>0</v>
      </c>
      <c r="AG71" s="28">
        <f>IF(AG25&gt;0, (AG$30*VALORI!$B$4)+(AG$31*VALORI!$B$4)+(AG$32*VALORI!$B$3)+(AG$33*VALORI!$B$5),0)</f>
        <v>0</v>
      </c>
      <c r="AH71" s="28">
        <f>IF(AH25&gt;0, (AH$30*VALORI!$B$4)+(AH$31*VALORI!$B$4)+(AH$32*VALORI!$B$3)+(AH$33*VALORI!$B$5),0)</f>
        <v>0</v>
      </c>
      <c r="AI71" s="28">
        <f>IF(AI25&gt;0, (AI$30*VALORI!$B$4)+(AI$31*VALORI!$B$4)+(AI$32*VALORI!$B$3)+(AI$33*VALORI!$B$5),0)</f>
        <v>0</v>
      </c>
      <c r="AJ71" s="28">
        <f>IF(AJ25&gt;0, (AJ$30*VALORI!$B$4)+(AJ$31*VALORI!$B$4)+(AJ$32*VALORI!$B$3)+(AJ$33*VALORI!$B$5),0)</f>
        <v>0</v>
      </c>
      <c r="AK71" s="28">
        <f>IF(AK25&gt;0, (AK$30*VALORI!$B$4)+(AK$31*VALORI!$B$4)+(AK$32*VALORI!$B$3)+(AK$33*VALORI!$B$5),0)</f>
        <v>0</v>
      </c>
      <c r="AL71" s="28">
        <f>IF(AL25&gt;0, (AL$30*VALORI!$B$4)+(AL$31*VALORI!$B$4)+(AL$32*VALORI!$B$3)+(AL$33*VALORI!$B$5),0)</f>
        <v>0</v>
      </c>
      <c r="AM71" s="28">
        <f>IF(AM25&gt;0, (AM$30*VALORI!$B$4)+(AM$31*VALORI!$B$4)+(AM$32*VALORI!$B$3)+(AM$33*VALORI!$B$5),0)</f>
        <v>0</v>
      </c>
      <c r="AN71" s="28">
        <f>IF(AN25&gt;0, (AN$30*VALORI!$B$4)+(AN$31*VALORI!$B$4)+(AN$32*VALORI!$B$3)+(AN$33*VALORI!$B$5),0)</f>
        <v>0</v>
      </c>
      <c r="AO71" s="28">
        <f>IF(AO25&gt;0, (AO$30*VALORI!$B$4)+(AO$31*VALORI!$B$4)+(AO$32*VALORI!$B$3)+(AO$33*VALORI!$B$5),0)</f>
        <v>0</v>
      </c>
    </row>
    <row r="72" spans="23:41" ht="15.75" x14ac:dyDescent="0.25">
      <c r="W72" s="28">
        <f>IF(W26&gt;0, (W$30*VALORI!$B$4)+(W$31*VALORI!$B$4)+(W$32*VALORI!$B$3)+(W$33*VALORI!$B$5),0)</f>
        <v>0</v>
      </c>
      <c r="X72" s="28">
        <f>IF(X26&gt;0, (X$30*VALORI!$B$4)+(X$31*VALORI!$B$4)+(X$32*VALORI!$B$3)+(X$33*VALORI!$B$5),0)</f>
        <v>0</v>
      </c>
      <c r="Y72" s="28">
        <f>IF(Y26&gt;0, (Y$30*VALORI!$B$4)+(Y$31*VALORI!$B$4)+(Y$32*VALORI!$B$3)+(Y$33*VALORI!$B$5),0)</f>
        <v>0</v>
      </c>
      <c r="Z72" s="28">
        <f>IF(Z26&gt;0, (Z$30*VALORI!$B$4)+(Z$31*VALORI!$B$4)+(Z$32*VALORI!$B$3)+(Z$33*VALORI!$B$5),0)</f>
        <v>0</v>
      </c>
      <c r="AA72" s="28">
        <f>IF(AA26&gt;0, (AA$30*VALORI!$B$4)+(AA$31*VALORI!$B$4)+(AA$32*VALORI!$B$3)+(AA$33*VALORI!$B$5),0)</f>
        <v>0</v>
      </c>
      <c r="AB72" s="28">
        <f>IF(AB26&gt;0, (AB$30*VALORI!$B$4)+(AB$31*VALORI!$B$4)+(AB$32*VALORI!$B$3)+(AB$33*VALORI!$B$5),0)</f>
        <v>0</v>
      </c>
      <c r="AC72" s="28">
        <f>IF(AC26&gt;0, (AC$30*VALORI!$B$4)+(AC$31*VALORI!$B$4)+(AC$32*VALORI!$B$3)+(AC$33*VALORI!$B$5),0)</f>
        <v>0</v>
      </c>
      <c r="AD72" s="28">
        <f>IF(AD26&gt;0, (AD$30*VALORI!$B$4)+(AD$31*VALORI!$B$4)+(AD$32*VALORI!$B$3)+(AD$33*VALORI!$B$5),0)</f>
        <v>0</v>
      </c>
      <c r="AE72" s="28">
        <f>IF(AE26&gt;0, (AE$30*VALORI!$B$4)+(AE$31*VALORI!$B$4)+(AE$32*VALORI!$B$3)+(AE$33*VALORI!$B$5),0)</f>
        <v>0</v>
      </c>
      <c r="AF72" s="28">
        <f>IF(AF26&gt;0, (AF$30*VALORI!$B$4)+(AF$31*VALORI!$B$4)+(AF$32*VALORI!$B$3)+(AF$33*VALORI!$B$5),0)</f>
        <v>0</v>
      </c>
      <c r="AG72" s="28">
        <f>IF(AG26&gt;0, (AG$30*VALORI!$B$4)+(AG$31*VALORI!$B$4)+(AG$32*VALORI!$B$3)+(AG$33*VALORI!$B$5),0)</f>
        <v>0</v>
      </c>
      <c r="AH72" s="28">
        <f>IF(AH26&gt;0, (AH$30*VALORI!$B$4)+(AH$31*VALORI!$B$4)+(AH$32*VALORI!$B$3)+(AH$33*VALORI!$B$5),0)</f>
        <v>0</v>
      </c>
      <c r="AI72" s="28">
        <f>IF(AI26&gt;0, (AI$30*VALORI!$B$4)+(AI$31*VALORI!$B$4)+(AI$32*VALORI!$B$3)+(AI$33*VALORI!$B$5),0)</f>
        <v>0</v>
      </c>
      <c r="AJ72" s="28">
        <f>IF(AJ26&gt;0, (AJ$30*VALORI!$B$4)+(AJ$31*VALORI!$B$4)+(AJ$32*VALORI!$B$3)+(AJ$33*VALORI!$B$5),0)</f>
        <v>0</v>
      </c>
      <c r="AK72" s="28">
        <f>IF(AK26&gt;0, (AK$30*VALORI!$B$4)+(AK$31*VALORI!$B$4)+(AK$32*VALORI!$B$3)+(AK$33*VALORI!$B$5),0)</f>
        <v>0</v>
      </c>
      <c r="AL72" s="28">
        <f>IF(AL26&gt;0, (AL$30*VALORI!$B$4)+(AL$31*VALORI!$B$4)+(AL$32*VALORI!$B$3)+(AL$33*VALORI!$B$5),0)</f>
        <v>0</v>
      </c>
      <c r="AM72" s="28">
        <f>IF(AM26&gt;0, (AM$30*VALORI!$B$4)+(AM$31*VALORI!$B$4)+(AM$32*VALORI!$B$3)+(AM$33*VALORI!$B$5),0)</f>
        <v>0</v>
      </c>
      <c r="AN72" s="28">
        <f>IF(AN26&gt;0, (AN$30*VALORI!$B$4)+(AN$31*VALORI!$B$4)+(AN$32*VALORI!$B$3)+(AN$33*VALORI!$B$5),0)</f>
        <v>0</v>
      </c>
      <c r="AO72" s="28">
        <f>IF(AO26&gt;0, (AO$30*VALORI!$B$4)+(AO$31*VALORI!$B$4)+(AO$32*VALORI!$B$3)+(AO$33*VALORI!$B$5),0)</f>
        <v>0</v>
      </c>
    </row>
    <row r="73" spans="23:41" ht="15.75" x14ac:dyDescent="0.25">
      <c r="W73" s="28">
        <f>IF(W27&gt;0, (W$30*VALORI!$B$4)+(W$31*VALORI!$B$4)+(W$32*VALORI!$B$3)+(W$33*VALORI!$B$5),0)</f>
        <v>0</v>
      </c>
      <c r="X73" s="28">
        <f>IF(X27&gt;0, (X$30*VALORI!$B$4)+(X$31*VALORI!$B$4)+(X$32*VALORI!$B$3)+(X$33*VALORI!$B$5),0)</f>
        <v>0</v>
      </c>
      <c r="Y73" s="28">
        <f>IF(Y27&gt;0, (Y$30*VALORI!$B$4)+(Y$31*VALORI!$B$4)+(Y$32*VALORI!$B$3)+(Y$33*VALORI!$B$5),0)</f>
        <v>0</v>
      </c>
      <c r="Z73" s="28">
        <f>IF(Z27&gt;0, (Z$30*VALORI!$B$4)+(Z$31*VALORI!$B$4)+(Z$32*VALORI!$B$3)+(Z$33*VALORI!$B$5),0)</f>
        <v>0</v>
      </c>
      <c r="AA73" s="28">
        <f>IF(AA27&gt;0, (AA$30*VALORI!$B$4)+(AA$31*VALORI!$B$4)+(AA$32*VALORI!$B$3)+(AA$33*VALORI!$B$5),0)</f>
        <v>0</v>
      </c>
      <c r="AB73" s="28">
        <f>IF(AB27&gt;0, (AB$30*VALORI!$B$4)+(AB$31*VALORI!$B$4)+(AB$32*VALORI!$B$3)+(AB$33*VALORI!$B$5),0)</f>
        <v>0</v>
      </c>
      <c r="AC73" s="28">
        <f>IF(AC27&gt;0, (AC$30*VALORI!$B$4)+(AC$31*VALORI!$B$4)+(AC$32*VALORI!$B$3)+(AC$33*VALORI!$B$5),0)</f>
        <v>0</v>
      </c>
      <c r="AD73" s="28">
        <f>IF(AD27&gt;0, (AD$30*VALORI!$B$4)+(AD$31*VALORI!$B$4)+(AD$32*VALORI!$B$3)+(AD$33*VALORI!$B$5),0)</f>
        <v>0</v>
      </c>
      <c r="AE73" s="28">
        <f>IF(AE27&gt;0, (AE$30*VALORI!$B$4)+(AE$31*VALORI!$B$4)+(AE$32*VALORI!$B$3)+(AE$33*VALORI!$B$5),0)</f>
        <v>0</v>
      </c>
      <c r="AF73" s="28">
        <f>IF(AF27&gt;0, (AF$30*VALORI!$B$4)+(AF$31*VALORI!$B$4)+(AF$32*VALORI!$B$3)+(AF$33*VALORI!$B$5),0)</f>
        <v>0</v>
      </c>
      <c r="AG73" s="28">
        <f>IF(AG27&gt;0, (AG$30*VALORI!$B$4)+(AG$31*VALORI!$B$4)+(AG$32*VALORI!$B$3)+(AG$33*VALORI!$B$5),0)</f>
        <v>0</v>
      </c>
      <c r="AH73" s="28">
        <f>IF(AH27&gt;0, (AH$30*VALORI!$B$4)+(AH$31*VALORI!$B$4)+(AH$32*VALORI!$B$3)+(AH$33*VALORI!$B$5),0)</f>
        <v>0</v>
      </c>
      <c r="AI73" s="28">
        <f>IF(AI27&gt;0, (AI$30*VALORI!$B$4)+(AI$31*VALORI!$B$4)+(AI$32*VALORI!$B$3)+(AI$33*VALORI!$B$5),0)</f>
        <v>0</v>
      </c>
      <c r="AJ73" s="28">
        <f>IF(AJ27&gt;0, (AJ$30*VALORI!$B$4)+(AJ$31*VALORI!$B$4)+(AJ$32*VALORI!$B$3)+(AJ$33*VALORI!$B$5),0)</f>
        <v>0</v>
      </c>
      <c r="AK73" s="28">
        <f>IF(AK27&gt;0, (AK$30*VALORI!$B$4)+(AK$31*VALORI!$B$4)+(AK$32*VALORI!$B$3)+(AK$33*VALORI!$B$5),0)</f>
        <v>0</v>
      </c>
      <c r="AL73" s="28">
        <f>IF(AL27&gt;0, (AL$30*VALORI!$B$4)+(AL$31*VALORI!$B$4)+(AL$32*VALORI!$B$3)+(AL$33*VALORI!$B$5),0)</f>
        <v>0</v>
      </c>
      <c r="AM73" s="28">
        <f>IF(AM27&gt;0, (AM$30*VALORI!$B$4)+(AM$31*VALORI!$B$4)+(AM$32*VALORI!$B$3)+(AM$33*VALORI!$B$5),0)</f>
        <v>0</v>
      </c>
      <c r="AN73" s="28">
        <f>IF(AN27&gt;0, (AN$30*VALORI!$B$4)+(AN$31*VALORI!$B$4)+(AN$32*VALORI!$B$3)+(AN$33*VALORI!$B$5),0)</f>
        <v>0</v>
      </c>
      <c r="AO73" s="28">
        <f>IF(AO27&gt;0, (AO$30*VALORI!$B$4)+(AO$31*VALORI!$B$4)+(AO$32*VALORI!$B$3)+(AO$33*VALORI!$B$5),0)</f>
        <v>0</v>
      </c>
    </row>
    <row r="74" spans="23:41" ht="15.75" x14ac:dyDescent="0.25">
      <c r="W74" s="28">
        <f>IF(W28&gt;0, (W$30*VALORI!$B$4)+(W$31*VALORI!$B$4)+(W$32*VALORI!$B$3)+(W$33*VALORI!$B$5),0)</f>
        <v>0</v>
      </c>
      <c r="X74" s="28">
        <f>IF(X28&gt;0, (X$30*VALORI!$B$4)+(X$31*VALORI!$B$4)+(X$32*VALORI!$B$3)+(X$33*VALORI!$B$5),0)</f>
        <v>0</v>
      </c>
      <c r="Y74" s="28">
        <f>IF(Y28&gt;0, (Y$30*VALORI!$B$4)+(Y$31*VALORI!$B$4)+(Y$32*VALORI!$B$3)+(Y$33*VALORI!$B$5),0)</f>
        <v>0</v>
      </c>
      <c r="Z74" s="28">
        <f>IF(Z28&gt;0, (Z$30*VALORI!$B$4)+(Z$31*VALORI!$B$4)+(Z$32*VALORI!$B$3)+(Z$33*VALORI!$B$5),0)</f>
        <v>0</v>
      </c>
      <c r="AA74" s="28">
        <f>IF(AA28&gt;0, (AA$30*VALORI!$B$4)+(AA$31*VALORI!$B$4)+(AA$32*VALORI!$B$3)+(AA$33*VALORI!$B$5),0)</f>
        <v>0</v>
      </c>
      <c r="AB74" s="28">
        <f>IF(AB28&gt;0, (AB$30*VALORI!$B$4)+(AB$31*VALORI!$B$4)+(AB$32*VALORI!$B$3)+(AB$33*VALORI!$B$5),0)</f>
        <v>0</v>
      </c>
      <c r="AC74" s="28">
        <f>IF(AC28&gt;0, (AC$30*VALORI!$B$4)+(AC$31*VALORI!$B$4)+(AC$32*VALORI!$B$3)+(AC$33*VALORI!$B$5),0)</f>
        <v>0</v>
      </c>
      <c r="AD74" s="28">
        <f>IF(AD28&gt;0, (AD$30*VALORI!$B$4)+(AD$31*VALORI!$B$4)+(AD$32*VALORI!$B$3)+(AD$33*VALORI!$B$5),0)</f>
        <v>0</v>
      </c>
      <c r="AE74" s="28">
        <f>IF(AE28&gt;0, (AE$30*VALORI!$B$4)+(AE$31*VALORI!$B$4)+(AE$32*VALORI!$B$3)+(AE$33*VALORI!$B$5),0)</f>
        <v>0</v>
      </c>
      <c r="AF74" s="28">
        <f>IF(AF28&gt;0, (AF$30*VALORI!$B$4)+(AF$31*VALORI!$B$4)+(AF$32*VALORI!$B$3)+(AF$33*VALORI!$B$5),0)</f>
        <v>0</v>
      </c>
      <c r="AG74" s="28">
        <f>IF(AG28&gt;0, (AG$30*VALORI!$B$4)+(AG$31*VALORI!$B$4)+(AG$32*VALORI!$B$3)+(AG$33*VALORI!$B$5),0)</f>
        <v>0</v>
      </c>
      <c r="AH74" s="28">
        <f>IF(AH28&gt;0, (AH$30*VALORI!$B$4)+(AH$31*VALORI!$B$4)+(AH$32*VALORI!$B$3)+(AH$33*VALORI!$B$5),0)</f>
        <v>0</v>
      </c>
      <c r="AI74" s="28">
        <f>IF(AI28&gt;0, (AI$30*VALORI!$B$4)+(AI$31*VALORI!$B$4)+(AI$32*VALORI!$B$3)+(AI$33*VALORI!$B$5),0)</f>
        <v>0</v>
      </c>
      <c r="AJ74" s="28">
        <f>IF(AJ28&gt;0, (AJ$30*VALORI!$B$4)+(AJ$31*VALORI!$B$4)+(AJ$32*VALORI!$B$3)+(AJ$33*VALORI!$B$5),0)</f>
        <v>0</v>
      </c>
      <c r="AK74" s="28">
        <f>IF(AK28&gt;0, (AK$30*VALORI!$B$4)+(AK$31*VALORI!$B$4)+(AK$32*VALORI!$B$3)+(AK$33*VALORI!$B$5),0)</f>
        <v>0</v>
      </c>
      <c r="AL74" s="28">
        <f>IF(AL28&gt;0, (AL$30*VALORI!$B$4)+(AL$31*VALORI!$B$4)+(AL$32*VALORI!$B$3)+(AL$33*VALORI!$B$5),0)</f>
        <v>0</v>
      </c>
      <c r="AM74" s="28">
        <f>IF(AM28&gt;0, (AM$30*VALORI!$B$4)+(AM$31*VALORI!$B$4)+(AM$32*VALORI!$B$3)+(AM$33*VALORI!$B$5),0)</f>
        <v>0</v>
      </c>
      <c r="AN74" s="28">
        <f>IF(AN28&gt;0, (AN$30*VALORI!$B$4)+(AN$31*VALORI!$B$4)+(AN$32*VALORI!$B$3)+(AN$33*VALORI!$B$5),0)</f>
        <v>0</v>
      </c>
      <c r="AO74" s="28">
        <f>IF(AO28&gt;0, (AO$30*VALORI!$B$4)+(AO$31*VALORI!$B$4)+(AO$32*VALORI!$B$3)+(AO$33*VALORI!$B$5),0)</f>
        <v>0</v>
      </c>
    </row>
  </sheetData>
  <sheetProtection algorithmName="SHA-512" hashValue="nLGAm7cTZr/BUepHCoznUGVzrPn5RMFhkwCXNn547TvxHhOij5iqBBEASEB22P9suc8hU28OlqEpZRiwe9ZwIw==" saltValue="BADrHWhA7qQsquKwdKGLag==" spinCount="100000" sheet="1" objects="1" scenarios="1"/>
  <mergeCells count="3">
    <mergeCell ref="A1:U1"/>
    <mergeCell ref="O26:P29"/>
    <mergeCell ref="O30:P33"/>
  </mergeCells>
  <pageMargins left="0.23622047244094491" right="0.23622047244094491" top="0.74803149606299213" bottom="0.74803149606299213" header="0.31496062992125984" footer="0.31496062992125984"/>
  <pageSetup paperSize="9"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74"/>
  <sheetViews>
    <sheetView zoomScale="70" zoomScaleNormal="70" workbookViewId="0">
      <selection activeCell="A30" sqref="A30:XFD30"/>
    </sheetView>
  </sheetViews>
  <sheetFormatPr defaultColWidth="9.28515625" defaultRowHeight="15" x14ac:dyDescent="0.25"/>
  <cols>
    <col min="1" max="1" width="36.5703125" bestFit="1" customWidth="1"/>
    <col min="2" max="2" width="21.42578125" customWidth="1"/>
    <col min="3" max="3" width="21.140625" customWidth="1"/>
    <col min="4" max="4" width="14.5703125" customWidth="1"/>
    <col min="5" max="7" width="13.85546875" customWidth="1"/>
    <col min="8" max="8" width="18.42578125" customWidth="1"/>
    <col min="9" max="14" width="5.7109375" customWidth="1"/>
    <col min="15" max="15" width="14.140625" customWidth="1"/>
    <col min="16" max="17" width="18.42578125" bestFit="1" customWidth="1"/>
    <col min="18" max="18" width="14" bestFit="1" customWidth="1"/>
    <col min="20" max="21" width="17" bestFit="1" customWidth="1"/>
    <col min="23" max="24" width="12.140625" customWidth="1"/>
    <col min="25" max="26" width="12.140625" bestFit="1" customWidth="1"/>
    <col min="27" max="28" width="12.140625" customWidth="1"/>
    <col min="29" max="29" width="11.5703125" bestFit="1" customWidth="1"/>
  </cols>
  <sheetData>
    <row r="1" spans="1:47" ht="21.75" thickBot="1" x14ac:dyDescent="0.35">
      <c r="A1" s="215" t="s">
        <v>139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7"/>
      <c r="W1" s="51" t="s">
        <v>13</v>
      </c>
      <c r="X1" s="51" t="s">
        <v>13</v>
      </c>
      <c r="Y1" s="38" t="s">
        <v>13</v>
      </c>
      <c r="Z1" s="38" t="s">
        <v>13</v>
      </c>
      <c r="AA1" s="38" t="s">
        <v>13</v>
      </c>
      <c r="AB1" s="38"/>
      <c r="AC1" s="37" t="s">
        <v>13</v>
      </c>
    </row>
    <row r="2" spans="1:47" ht="200.25" customHeight="1" x14ac:dyDescent="0.25">
      <c r="A2" s="6" t="s">
        <v>140</v>
      </c>
      <c r="B2" s="6" t="s">
        <v>141</v>
      </c>
      <c r="C2" s="6" t="s">
        <v>142</v>
      </c>
      <c r="D2" s="6"/>
      <c r="E2" s="6"/>
      <c r="F2" s="6"/>
      <c r="G2" s="6"/>
      <c r="H2" s="6"/>
      <c r="I2" s="14" t="s">
        <v>21</v>
      </c>
      <c r="J2" s="14" t="s">
        <v>22</v>
      </c>
      <c r="K2" s="14" t="s">
        <v>23</v>
      </c>
      <c r="L2" s="14" t="s">
        <v>24</v>
      </c>
      <c r="M2" s="14" t="s">
        <v>25</v>
      </c>
      <c r="N2" s="14" t="s">
        <v>26</v>
      </c>
      <c r="O2" s="18" t="s">
        <v>27</v>
      </c>
      <c r="P2" s="15" t="s">
        <v>28</v>
      </c>
      <c r="Q2" s="20" t="s">
        <v>29</v>
      </c>
      <c r="R2" s="22" t="s">
        <v>30</v>
      </c>
      <c r="S2" s="21" t="s">
        <v>301</v>
      </c>
      <c r="T2" s="31" t="s">
        <v>31</v>
      </c>
      <c r="U2" s="31" t="s">
        <v>32</v>
      </c>
      <c r="W2" s="36" t="s">
        <v>33</v>
      </c>
      <c r="X2" s="36" t="s">
        <v>34</v>
      </c>
      <c r="Y2" s="36" t="s">
        <v>35</v>
      </c>
      <c r="Z2" s="36" t="s">
        <v>36</v>
      </c>
      <c r="AA2" s="36" t="s">
        <v>316</v>
      </c>
      <c r="AB2" s="36"/>
      <c r="AC2" s="36" t="s">
        <v>143</v>
      </c>
    </row>
    <row r="3" spans="1:47" ht="20.25" customHeight="1" x14ac:dyDescent="0.35">
      <c r="A3" s="11" t="s">
        <v>144</v>
      </c>
      <c r="B3" s="19" t="s">
        <v>145</v>
      </c>
      <c r="C3" s="19" t="s">
        <v>145</v>
      </c>
      <c r="D3" s="19" t="s">
        <v>54</v>
      </c>
      <c r="E3" s="19" t="s">
        <v>54</v>
      </c>
      <c r="F3" s="19" t="s">
        <v>54</v>
      </c>
      <c r="G3" s="19" t="s">
        <v>54</v>
      </c>
      <c r="H3" s="19" t="s">
        <v>54</v>
      </c>
      <c r="I3" s="40">
        <v>20</v>
      </c>
      <c r="J3" s="41">
        <v>20</v>
      </c>
      <c r="K3" s="41">
        <v>20</v>
      </c>
      <c r="L3" s="41">
        <v>75</v>
      </c>
      <c r="M3" s="41">
        <v>16</v>
      </c>
      <c r="N3" s="41">
        <v>32</v>
      </c>
      <c r="O3" s="9">
        <f>(VALORI!B$3 * 'SILI PASTA CORTA'!I3) + (VALORI!B$4 * 'SILI PASTA CORTA'!J3) + (VALORI!B$4 * 'SILI PASTA CORTA'!K3) + (VALORI!B$5 * 'SILI PASTA CORTA'!L3) + (VALORI!B$6 * 'SILI PASTA CORTA'!M3) + (VALORI!B$7 * 'SILI PASTA CORTA'!N3)</f>
        <v>6115</v>
      </c>
      <c r="P3" s="13">
        <f>(O3*25%)+O3</f>
        <v>7643.75</v>
      </c>
      <c r="Q3" s="25">
        <v>6121.5</v>
      </c>
      <c r="R3" s="26">
        <f>(Q3*20%)+Q3</f>
        <v>7345.8</v>
      </c>
      <c r="S3" s="27" t="s">
        <v>146</v>
      </c>
      <c r="T3" s="28">
        <f t="shared" ref="T3:U8" si="0">O3+Q3</f>
        <v>12236.5</v>
      </c>
      <c r="U3" s="28">
        <f t="shared" si="0"/>
        <v>14989.55</v>
      </c>
      <c r="V3" s="35" t="s">
        <v>55</v>
      </c>
      <c r="W3" s="28">
        <f>(Q3*6%)</f>
        <v>367.28999999999996</v>
      </c>
      <c r="X3" s="28">
        <f>(Q3*20%)</f>
        <v>1224.3</v>
      </c>
      <c r="Y3" s="28">
        <v>3000</v>
      </c>
      <c r="Z3" s="28">
        <f>(Y3*65%)+Y3</f>
        <v>4950</v>
      </c>
      <c r="AA3" s="28">
        <v>4800</v>
      </c>
      <c r="AB3" s="28"/>
      <c r="AC3" s="28">
        <v>5000</v>
      </c>
    </row>
    <row r="4" spans="1:47" ht="20.25" customHeight="1" x14ac:dyDescent="0.35">
      <c r="A4" s="11" t="s">
        <v>147</v>
      </c>
      <c r="B4" s="19" t="s">
        <v>145</v>
      </c>
      <c r="C4" s="19" t="s">
        <v>145</v>
      </c>
      <c r="D4" s="19" t="s">
        <v>54</v>
      </c>
      <c r="E4" s="19" t="s">
        <v>54</v>
      </c>
      <c r="F4" s="19" t="s">
        <v>54</v>
      </c>
      <c r="G4" s="19" t="s">
        <v>54</v>
      </c>
      <c r="H4" s="19" t="s">
        <v>54</v>
      </c>
      <c r="I4" s="40">
        <v>30</v>
      </c>
      <c r="J4" s="41">
        <v>25</v>
      </c>
      <c r="K4" s="41">
        <v>25</v>
      </c>
      <c r="L4" s="41">
        <v>120</v>
      </c>
      <c r="M4" s="41">
        <v>20</v>
      </c>
      <c r="N4" s="41">
        <v>40</v>
      </c>
      <c r="O4" s="9">
        <f>(VALORI!B$3 * 'SILI PASTA CORTA'!I4) + (VALORI!B$4 * 'SILI PASTA CORTA'!J4) + (VALORI!B$4 * 'SILI PASTA CORTA'!K4) + (VALORI!B$5 * 'SILI PASTA CORTA'!L4) + (VALORI!B$6 * 'SILI PASTA CORTA'!M4) + (VALORI!B$7 * 'SILI PASTA CORTA'!N4)</f>
        <v>8590</v>
      </c>
      <c r="P4" s="13">
        <f t="shared" ref="P4:P8" si="1">(O4*25%)+O4</f>
        <v>10737.5</v>
      </c>
      <c r="Q4" s="25">
        <v>11018.7</v>
      </c>
      <c r="R4" s="26">
        <f t="shared" ref="R4:R9" si="2">(Q4*20%)+Q4</f>
        <v>13222.44</v>
      </c>
      <c r="S4" s="27" t="s">
        <v>148</v>
      </c>
      <c r="T4" s="28">
        <f t="shared" si="0"/>
        <v>19608.7</v>
      </c>
      <c r="U4" s="28">
        <f t="shared" si="0"/>
        <v>23959.940000000002</v>
      </c>
      <c r="V4" s="35" t="s">
        <v>55</v>
      </c>
      <c r="W4" s="28">
        <f>(Q4*6%)</f>
        <v>661.12200000000007</v>
      </c>
      <c r="X4" s="28">
        <f>(Q4*20%)</f>
        <v>2203.7400000000002</v>
      </c>
      <c r="Y4" s="28">
        <v>6000</v>
      </c>
      <c r="Z4" s="28">
        <f>(Y4*65%)+Y4</f>
        <v>9900</v>
      </c>
      <c r="AA4" s="28">
        <v>7000</v>
      </c>
      <c r="AB4" s="28"/>
      <c r="AC4" s="28">
        <v>5000</v>
      </c>
    </row>
    <row r="5" spans="1:47" ht="20.25" customHeight="1" x14ac:dyDescent="0.35">
      <c r="A5" s="11" t="s">
        <v>149</v>
      </c>
      <c r="B5" s="19" t="s">
        <v>145</v>
      </c>
      <c r="C5" s="19" t="s">
        <v>145</v>
      </c>
      <c r="D5" s="19" t="s">
        <v>54</v>
      </c>
      <c r="E5" s="19" t="s">
        <v>54</v>
      </c>
      <c r="F5" s="19" t="s">
        <v>54</v>
      </c>
      <c r="G5" s="19" t="s">
        <v>54</v>
      </c>
      <c r="H5" s="19" t="s">
        <v>54</v>
      </c>
      <c r="I5" s="41">
        <v>35</v>
      </c>
      <c r="J5" s="41">
        <v>30</v>
      </c>
      <c r="K5" s="41">
        <v>30</v>
      </c>
      <c r="L5" s="41">
        <v>160</v>
      </c>
      <c r="M5" s="41">
        <v>20</v>
      </c>
      <c r="N5" s="41">
        <v>40</v>
      </c>
      <c r="O5" s="9">
        <f>(VALORI!B$3 * 'SILI PASTA CORTA'!I5) + (VALORI!B$4 * 'SILI PASTA CORTA'!J5) + (VALORI!B$4 * 'SILI PASTA CORTA'!K5) + (VALORI!B$5 * 'SILI PASTA CORTA'!L5) + (VALORI!B$6 * 'SILI PASTA CORTA'!M5) + (VALORI!B$7 * 'SILI PASTA CORTA'!N5)</f>
        <v>10315</v>
      </c>
      <c r="P5" s="13">
        <f t="shared" si="1"/>
        <v>12893.75</v>
      </c>
      <c r="Q5" s="25">
        <v>13467.3</v>
      </c>
      <c r="R5" s="26">
        <f t="shared" si="2"/>
        <v>16160.759999999998</v>
      </c>
      <c r="S5" s="27" t="s">
        <v>150</v>
      </c>
      <c r="T5" s="28">
        <f t="shared" si="0"/>
        <v>23782.3</v>
      </c>
      <c r="U5" s="28">
        <f t="shared" si="0"/>
        <v>29054.51</v>
      </c>
      <c r="V5" s="35" t="s">
        <v>55</v>
      </c>
      <c r="W5" s="28">
        <f t="shared" ref="W5:W8" si="3">(Q5*6%)</f>
        <v>808.0379999999999</v>
      </c>
      <c r="X5" s="28">
        <f t="shared" ref="X5:X8" si="4">(Q5*20%)</f>
        <v>2693.46</v>
      </c>
      <c r="Y5" s="28">
        <v>6000</v>
      </c>
      <c r="Z5" s="28">
        <f t="shared" ref="Z5:Z8" si="5">(Y5*65%)+Y5</f>
        <v>9900</v>
      </c>
      <c r="AA5" s="28">
        <v>14000</v>
      </c>
      <c r="AB5" s="28"/>
      <c r="AC5" s="28">
        <v>5000</v>
      </c>
    </row>
    <row r="6" spans="1:47" ht="20.25" customHeight="1" x14ac:dyDescent="0.35">
      <c r="A6" s="11" t="s">
        <v>151</v>
      </c>
      <c r="B6" s="19" t="s">
        <v>145</v>
      </c>
      <c r="C6" s="19" t="s">
        <v>145</v>
      </c>
      <c r="D6" s="19" t="s">
        <v>54</v>
      </c>
      <c r="E6" s="19" t="s">
        <v>54</v>
      </c>
      <c r="F6" s="19" t="s">
        <v>54</v>
      </c>
      <c r="G6" s="19" t="s">
        <v>54</v>
      </c>
      <c r="H6" s="19" t="s">
        <v>54</v>
      </c>
      <c r="I6" s="41">
        <v>30</v>
      </c>
      <c r="J6" s="41">
        <v>30</v>
      </c>
      <c r="K6" s="41">
        <v>30</v>
      </c>
      <c r="L6" s="41">
        <v>160</v>
      </c>
      <c r="M6" s="41">
        <v>24</v>
      </c>
      <c r="N6" s="41">
        <v>45</v>
      </c>
      <c r="O6" s="9">
        <f>(VALORI!B$3 * 'SILI PASTA CORTA'!I6) + (VALORI!B$4 * 'SILI PASTA CORTA'!J6) + (VALORI!B$4 * 'SILI PASTA CORTA'!K6) + (VALORI!B$5 * 'SILI PASTA CORTA'!L6) + (VALORI!B$6 * 'SILI PASTA CORTA'!M6) + (VALORI!B$7 * 'SILI PASTA CORTA'!N6)</f>
        <v>10436</v>
      </c>
      <c r="P6" s="13">
        <f t="shared" si="1"/>
        <v>13045</v>
      </c>
      <c r="Q6" s="25">
        <v>18976.650000000001</v>
      </c>
      <c r="R6" s="26">
        <f t="shared" si="2"/>
        <v>22771.980000000003</v>
      </c>
      <c r="S6" s="27" t="s">
        <v>150</v>
      </c>
      <c r="T6" s="28">
        <f t="shared" si="0"/>
        <v>29412.65</v>
      </c>
      <c r="U6" s="28">
        <f t="shared" si="0"/>
        <v>35816.980000000003</v>
      </c>
      <c r="V6" s="35" t="s">
        <v>55</v>
      </c>
      <c r="W6" s="28">
        <f t="shared" si="3"/>
        <v>1138.5989999999999</v>
      </c>
      <c r="X6" s="28">
        <f t="shared" si="4"/>
        <v>3795.3300000000004</v>
      </c>
      <c r="Y6" s="28">
        <v>6000</v>
      </c>
      <c r="Z6" s="28">
        <f t="shared" si="5"/>
        <v>9900</v>
      </c>
      <c r="AA6" s="28">
        <v>4800</v>
      </c>
      <c r="AB6" s="28"/>
      <c r="AC6" s="28">
        <v>5000</v>
      </c>
    </row>
    <row r="7" spans="1:47" ht="20.25" customHeight="1" x14ac:dyDescent="0.35">
      <c r="A7" s="11" t="s">
        <v>152</v>
      </c>
      <c r="B7" s="19" t="s">
        <v>145</v>
      </c>
      <c r="C7" s="19" t="s">
        <v>145</v>
      </c>
      <c r="D7" s="19" t="s">
        <v>54</v>
      </c>
      <c r="E7" s="19" t="s">
        <v>54</v>
      </c>
      <c r="F7" s="19" t="s">
        <v>54</v>
      </c>
      <c r="G7" s="19" t="s">
        <v>54</v>
      </c>
      <c r="H7" s="19" t="s">
        <v>54</v>
      </c>
      <c r="I7" s="41">
        <v>35</v>
      </c>
      <c r="J7" s="41">
        <v>40</v>
      </c>
      <c r="K7" s="41">
        <v>40</v>
      </c>
      <c r="L7" s="41">
        <v>200</v>
      </c>
      <c r="M7" s="41">
        <v>24</v>
      </c>
      <c r="N7" s="41">
        <v>50</v>
      </c>
      <c r="O7" s="9">
        <f>(VALORI!B$3 * 'SILI PASTA CORTA'!I7) + (VALORI!B$4 * 'SILI PASTA CORTA'!J7) + (VALORI!B$4 * 'SILI PASTA CORTA'!K7) + (VALORI!B$5 * 'SILI PASTA CORTA'!L7) + (VALORI!B$6 * 'SILI PASTA CORTA'!M7) + (VALORI!B$7 * 'SILI PASTA CORTA'!N7)</f>
        <v>12731</v>
      </c>
      <c r="P7" s="13">
        <f t="shared" si="1"/>
        <v>15913.75</v>
      </c>
      <c r="Q7" s="25">
        <v>19588.8</v>
      </c>
      <c r="R7" s="26">
        <f t="shared" si="2"/>
        <v>23506.559999999998</v>
      </c>
      <c r="S7" s="27" t="s">
        <v>153</v>
      </c>
      <c r="T7" s="28">
        <f t="shared" si="0"/>
        <v>32319.8</v>
      </c>
      <c r="U7" s="28">
        <f t="shared" si="0"/>
        <v>39420.31</v>
      </c>
      <c r="V7" s="35" t="s">
        <v>55</v>
      </c>
      <c r="W7" s="28">
        <f t="shared" si="3"/>
        <v>1175.328</v>
      </c>
      <c r="X7" s="28">
        <f t="shared" si="4"/>
        <v>3917.76</v>
      </c>
      <c r="Y7" s="28">
        <v>7000</v>
      </c>
      <c r="Z7" s="28">
        <f t="shared" si="5"/>
        <v>11550</v>
      </c>
      <c r="AA7" s="28">
        <v>7000</v>
      </c>
      <c r="AB7" s="28"/>
      <c r="AC7" s="28">
        <v>5000</v>
      </c>
    </row>
    <row r="8" spans="1:47" ht="20.25" customHeight="1" x14ac:dyDescent="0.35">
      <c r="A8" s="11" t="s">
        <v>154</v>
      </c>
      <c r="B8" s="19" t="s">
        <v>145</v>
      </c>
      <c r="C8" s="19" t="s">
        <v>145</v>
      </c>
      <c r="D8" s="19" t="s">
        <v>54</v>
      </c>
      <c r="E8" s="19" t="s">
        <v>54</v>
      </c>
      <c r="F8" s="19" t="s">
        <v>54</v>
      </c>
      <c r="G8" s="19" t="s">
        <v>54</v>
      </c>
      <c r="H8" s="19" t="s">
        <v>54</v>
      </c>
      <c r="I8" s="41">
        <v>40</v>
      </c>
      <c r="J8" s="41">
        <v>50</v>
      </c>
      <c r="K8" s="41">
        <v>50</v>
      </c>
      <c r="L8" s="41">
        <v>260</v>
      </c>
      <c r="M8" s="41">
        <v>32</v>
      </c>
      <c r="N8" s="41">
        <v>60</v>
      </c>
      <c r="O8" s="9">
        <f>(VALORI!B$3 * 'SILI PASTA CORTA'!I8) + (VALORI!B$4 * 'SILI PASTA CORTA'!J8) + (VALORI!B$4 * 'SILI PASTA CORTA'!K8) + (VALORI!B$5 * 'SILI PASTA CORTA'!L8) + (VALORI!B$6 * 'SILI PASTA CORTA'!M8) + (VALORI!B$7 * 'SILI PASTA CORTA'!N8)</f>
        <v>16028</v>
      </c>
      <c r="P8" s="13">
        <f t="shared" si="1"/>
        <v>20035</v>
      </c>
      <c r="Q8" s="25">
        <v>22037.4</v>
      </c>
      <c r="R8" s="26">
        <f t="shared" si="2"/>
        <v>26444.880000000001</v>
      </c>
      <c r="S8" s="27" t="s">
        <v>155</v>
      </c>
      <c r="T8" s="28">
        <f t="shared" si="0"/>
        <v>38065.4</v>
      </c>
      <c r="U8" s="28">
        <f t="shared" si="0"/>
        <v>46479.880000000005</v>
      </c>
      <c r="V8" s="35" t="s">
        <v>55</v>
      </c>
      <c r="W8" s="28">
        <f t="shared" si="3"/>
        <v>1322.2440000000001</v>
      </c>
      <c r="X8" s="28">
        <f t="shared" si="4"/>
        <v>4407.4800000000005</v>
      </c>
      <c r="Y8" s="28">
        <v>8000</v>
      </c>
      <c r="Z8" s="28">
        <f t="shared" si="5"/>
        <v>13200</v>
      </c>
      <c r="AA8" s="28">
        <v>14000</v>
      </c>
      <c r="AB8" s="28"/>
      <c r="AC8" s="28">
        <v>5000</v>
      </c>
    </row>
    <row r="9" spans="1:47" ht="20.25" customHeight="1" x14ac:dyDescent="0.35">
      <c r="A9" s="11" t="s">
        <v>341</v>
      </c>
      <c r="B9" s="19" t="s">
        <v>145</v>
      </c>
      <c r="C9" s="19" t="s">
        <v>145</v>
      </c>
      <c r="D9" s="19" t="s">
        <v>54</v>
      </c>
      <c r="E9" s="19" t="s">
        <v>54</v>
      </c>
      <c r="F9" s="19" t="s">
        <v>54</v>
      </c>
      <c r="G9" s="19" t="s">
        <v>54</v>
      </c>
      <c r="H9" s="19" t="s">
        <v>54</v>
      </c>
      <c r="I9" s="41">
        <v>42</v>
      </c>
      <c r="J9" s="41">
        <v>55</v>
      </c>
      <c r="K9" s="41">
        <v>55</v>
      </c>
      <c r="L9" s="41">
        <v>280</v>
      </c>
      <c r="M9" s="41">
        <v>35</v>
      </c>
      <c r="N9" s="41">
        <v>65</v>
      </c>
      <c r="O9" s="9">
        <f>(VALORI!B$3 * 'SILI PASTA CORTA'!I9) + (VALORI!B$4 * 'SILI PASTA CORTA'!J9) + (VALORI!B$4 * 'SILI PASTA CORTA'!K9) + (VALORI!B$5 * 'SILI PASTA CORTA'!L9) + (VALORI!B$6 * 'SILI PASTA CORTA'!M9) + (VALORI!B$7 * 'SILI PASTA CORTA'!N9)</f>
        <v>17339</v>
      </c>
      <c r="P9" s="13">
        <f t="shared" ref="P9" si="6">(O9*25%)+O9</f>
        <v>21673.75</v>
      </c>
      <c r="Q9" s="25">
        <v>24252.799999999999</v>
      </c>
      <c r="R9" s="26">
        <f t="shared" si="2"/>
        <v>29103.360000000001</v>
      </c>
      <c r="S9" s="27" t="s">
        <v>155</v>
      </c>
      <c r="T9" s="28">
        <f t="shared" ref="T9" si="7">O9+Q9</f>
        <v>41591.800000000003</v>
      </c>
      <c r="U9" s="28">
        <f t="shared" ref="U9" si="8">P9+R9</f>
        <v>50777.11</v>
      </c>
      <c r="V9" s="35" t="s">
        <v>55</v>
      </c>
      <c r="W9" s="28">
        <f t="shared" ref="W9" si="9">(Q9*6%)</f>
        <v>1455.1679999999999</v>
      </c>
      <c r="X9" s="28">
        <f>(Q9*20%)</f>
        <v>4850.5600000000004</v>
      </c>
      <c r="Y9" s="28">
        <v>8500</v>
      </c>
      <c r="Z9" s="28">
        <f>(Y9*65%)+Y9</f>
        <v>14025</v>
      </c>
      <c r="AA9" s="28">
        <v>14000</v>
      </c>
      <c r="AB9" s="28"/>
      <c r="AC9" s="28">
        <v>5000</v>
      </c>
    </row>
    <row r="16" spans="1:47" ht="15.75" x14ac:dyDescent="0.25">
      <c r="AP16" s="49"/>
      <c r="AU16" s="49"/>
    </row>
    <row r="17" spans="15:47" ht="15.75" x14ac:dyDescent="0.25">
      <c r="AP17" s="49"/>
      <c r="AU17" s="49"/>
    </row>
    <row r="18" spans="15:47" ht="15.75" x14ac:dyDescent="0.25">
      <c r="AP18" s="49"/>
      <c r="AU18" s="49"/>
    </row>
    <row r="19" spans="15:47" ht="15.75" x14ac:dyDescent="0.25">
      <c r="AP19" s="49"/>
      <c r="AU19" s="49"/>
    </row>
    <row r="20" spans="15:47" ht="15.75" x14ac:dyDescent="0.25">
      <c r="AP20" s="49"/>
      <c r="AU20" s="49"/>
    </row>
    <row r="21" spans="15:47" ht="15.75" x14ac:dyDescent="0.25">
      <c r="AP21" s="49"/>
      <c r="AU21" s="49"/>
    </row>
    <row r="22" spans="15:47" ht="15.75" x14ac:dyDescent="0.25">
      <c r="AP22" s="49"/>
      <c r="AU22" s="49"/>
    </row>
    <row r="23" spans="15:47" ht="15.75" x14ac:dyDescent="0.25">
      <c r="AP23" s="49"/>
      <c r="AU23" s="49"/>
    </row>
    <row r="24" spans="15:47" ht="15.75" x14ac:dyDescent="0.25">
      <c r="AP24" s="49"/>
      <c r="AU24" s="49"/>
    </row>
    <row r="30" spans="15:47" ht="15.75" customHeight="1" x14ac:dyDescent="0.25">
      <c r="O30" s="218" t="s">
        <v>115</v>
      </c>
      <c r="P30" s="219"/>
      <c r="Q30" s="28" t="s">
        <v>116</v>
      </c>
      <c r="R30" s="28" t="s">
        <v>63</v>
      </c>
      <c r="S30" s="5"/>
      <c r="T30" s="28"/>
      <c r="U30" s="28"/>
      <c r="V30" s="28"/>
      <c r="W30" s="53">
        <v>0</v>
      </c>
      <c r="X30" s="53">
        <v>0</v>
      </c>
      <c r="Y30" s="53">
        <v>0</v>
      </c>
      <c r="Z30" s="53">
        <v>0</v>
      </c>
      <c r="AA30" s="53">
        <v>8</v>
      </c>
      <c r="AB30" s="53"/>
      <c r="AC30" s="53">
        <v>0</v>
      </c>
    </row>
    <row r="31" spans="15:47" ht="15.75" customHeight="1" x14ac:dyDescent="0.25">
      <c r="O31" s="220"/>
      <c r="P31" s="221"/>
      <c r="Q31" s="28" t="s">
        <v>117</v>
      </c>
      <c r="R31" s="28" t="s">
        <v>63</v>
      </c>
      <c r="S31" s="5"/>
      <c r="T31" s="28"/>
      <c r="U31" s="28"/>
      <c r="V31" s="28"/>
      <c r="W31" s="53">
        <v>0</v>
      </c>
      <c r="X31" s="53">
        <v>0</v>
      </c>
      <c r="Y31" s="53">
        <v>0</v>
      </c>
      <c r="Z31" s="53">
        <v>0</v>
      </c>
      <c r="AA31" s="53">
        <v>16</v>
      </c>
      <c r="AB31" s="53"/>
      <c r="AC31" s="53">
        <v>0</v>
      </c>
    </row>
    <row r="32" spans="15:47" ht="15.75" customHeight="1" x14ac:dyDescent="0.25">
      <c r="O32" s="220"/>
      <c r="P32" s="221"/>
      <c r="Q32" s="28" t="s">
        <v>118</v>
      </c>
      <c r="R32" s="53">
        <v>15</v>
      </c>
      <c r="S32" s="5"/>
      <c r="T32" s="28"/>
      <c r="U32" s="28"/>
      <c r="V32" s="28"/>
      <c r="W32" s="53">
        <v>10</v>
      </c>
      <c r="X32" s="53">
        <v>30</v>
      </c>
      <c r="Y32" s="53">
        <v>8</v>
      </c>
      <c r="Z32" s="53">
        <v>8</v>
      </c>
      <c r="AA32" s="53">
        <v>16</v>
      </c>
      <c r="AB32" s="53"/>
      <c r="AC32" s="53">
        <v>15</v>
      </c>
    </row>
    <row r="33" spans="15:41" ht="15.75" customHeight="1" x14ac:dyDescent="0.25">
      <c r="O33" s="222"/>
      <c r="P33" s="223"/>
      <c r="Q33" s="28" t="s">
        <v>119</v>
      </c>
      <c r="R33" s="53">
        <v>45</v>
      </c>
      <c r="S33" s="5"/>
      <c r="T33" s="28"/>
      <c r="U33" s="28"/>
      <c r="V33" s="28"/>
      <c r="W33" s="53">
        <v>30</v>
      </c>
      <c r="X33" s="53">
        <v>90</v>
      </c>
      <c r="Y33" s="53">
        <v>24</v>
      </c>
      <c r="Z33" s="53">
        <v>24</v>
      </c>
      <c r="AA33" s="53">
        <v>32</v>
      </c>
      <c r="AB33" s="53"/>
      <c r="AC33" s="53">
        <v>3</v>
      </c>
    </row>
    <row r="37" spans="15:41" ht="67.900000000000006" customHeight="1" x14ac:dyDescent="0.25">
      <c r="O37" s="85"/>
      <c r="P37" s="85" t="s">
        <v>344</v>
      </c>
      <c r="Q37" t="s">
        <v>347</v>
      </c>
      <c r="W37" s="94" t="s">
        <v>339</v>
      </c>
      <c r="X37" s="94" t="s">
        <v>339</v>
      </c>
      <c r="Y37" s="94" t="s">
        <v>339</v>
      </c>
      <c r="Z37" s="94" t="s">
        <v>339</v>
      </c>
      <c r="AA37" s="94" t="s">
        <v>339</v>
      </c>
      <c r="AB37" s="94" t="s">
        <v>339</v>
      </c>
      <c r="AC37" s="94" t="s">
        <v>339</v>
      </c>
      <c r="AD37" s="94" t="s">
        <v>339</v>
      </c>
      <c r="AE37" s="94" t="s">
        <v>339</v>
      </c>
      <c r="AF37" s="94" t="s">
        <v>339</v>
      </c>
      <c r="AG37" s="94" t="s">
        <v>339</v>
      </c>
      <c r="AH37" s="94" t="s">
        <v>339</v>
      </c>
      <c r="AI37" s="94" t="s">
        <v>339</v>
      </c>
      <c r="AJ37" s="94" t="s">
        <v>339</v>
      </c>
      <c r="AK37" s="94" t="s">
        <v>339</v>
      </c>
      <c r="AL37" s="94" t="s">
        <v>339</v>
      </c>
      <c r="AM37" s="94" t="s">
        <v>339</v>
      </c>
      <c r="AN37" s="94" t="s">
        <v>339</v>
      </c>
      <c r="AO37" s="94" t="s">
        <v>339</v>
      </c>
    </row>
    <row r="38" spans="15:41" ht="15.75" x14ac:dyDescent="0.25">
      <c r="O38" s="25">
        <v>5250</v>
      </c>
      <c r="P38" s="25">
        <f>(O38*6%)+O38</f>
        <v>5565</v>
      </c>
      <c r="Q38" s="25">
        <f>(P38*10%)+P38</f>
        <v>6121.5</v>
      </c>
      <c r="R38" s="25"/>
      <c r="W38" s="28">
        <f>IF(W3&gt;0, W3-(W$30*VALORI!$B$4)-(W$31*VALORI!$B$4)-(W$32*VALORI!$B$3)-(W$33*VALORI!$B$5),0)</f>
        <v>-872.71</v>
      </c>
      <c r="X38" s="28">
        <f>IF(X3&gt;0, X3-(X$30*VALORI!$B$4)-(X$31*VALORI!$B$4)-(X$32*VALORI!$B$3)-(X$33*VALORI!$B$5),0)</f>
        <v>-2495.6999999999998</v>
      </c>
      <c r="Y38" s="28">
        <f>IF(Y3&gt;0, Y3-(Y$30*VALORI!$B$4)-(Y$31*VALORI!$B$4)-(Y$32*VALORI!$B$3)-(Y$33*VALORI!$B$5),0)</f>
        <v>2008</v>
      </c>
      <c r="Z38" s="28">
        <f>IF(Z3&gt;0, Z3-(Z$30*VALORI!$B$4)-(Z$31*VALORI!$B$4)-(Z$32*VALORI!$B$3)-(Z$33*VALORI!$B$5),0)</f>
        <v>3958</v>
      </c>
      <c r="AA38" s="28">
        <f>IF(AA3&gt;0, AA3-(AA$30*VALORI!$B$4)-(AA$31*VALORI!$B$4)-(AA$32*VALORI!$B$3)-(AA$33*VALORI!$B$5),0)</f>
        <v>2368</v>
      </c>
      <c r="AB38" s="28">
        <f>IF(AB3&gt;0, AB3-(AB$30*VALORI!$B$4)-(AB$31*VALORI!$B$4)-(AB$32*VALORI!$B$3)-(AB$33*VALORI!$B$5),0)</f>
        <v>0</v>
      </c>
      <c r="AC38" s="28">
        <f>IF(AC3&gt;0, AC3-(AC$30*VALORI!$B$4)-(AC$31*VALORI!$B$4)-(AC$32*VALORI!$B$3)-(AC$33*VALORI!$B$5),0)</f>
        <v>4358</v>
      </c>
      <c r="AD38" s="28">
        <f>IF(AD3&gt;0, AD3-(AD$30*VALORI!$B$4)-(AD$31*VALORI!$B$4)-(AD$32*VALORI!$B$3)-(AD$33*VALORI!$B$5),0)</f>
        <v>0</v>
      </c>
      <c r="AE38" s="28">
        <f>IF(AE3&gt;0, AE3-(AE$30*VALORI!$B$4)-(AE$31*VALORI!$B$4)-(AE$32*VALORI!$B$3)-(AE$33*VALORI!$B$5),0)</f>
        <v>0</v>
      </c>
      <c r="AF38" s="28">
        <f>IF(AF3&gt;0, AF3-(AF$30*VALORI!$B$4)-(AF$31*VALORI!$B$4)-(AF$32*VALORI!$B$3)-(AF$33*VALORI!$B$5),0)</f>
        <v>0</v>
      </c>
      <c r="AG38" s="28">
        <f>IF(AG3&gt;0, AG3-(AG$30*VALORI!$B$4)-(AG$31*VALORI!$B$4)-(AG$32*VALORI!$B$3)-(AG$33*VALORI!$B$5),0)</f>
        <v>0</v>
      </c>
      <c r="AH38" s="28">
        <f>IF(AH3&gt;0, AH3-(AH$30*VALORI!$B$4)-(AH$31*VALORI!$B$4)-(AH$32*VALORI!$B$3)-(AH$33*VALORI!$B$5),0)</f>
        <v>0</v>
      </c>
      <c r="AI38" s="28">
        <f>IF(AI3&gt;0, AI3-(AI$30*VALORI!$B$4)-(AI$31*VALORI!$B$4)-(AI$32*VALORI!$B$3)-(AI$33*VALORI!$B$5),0)</f>
        <v>0</v>
      </c>
      <c r="AJ38" s="28">
        <f>IF(AJ3&gt;0, AJ3-(AJ$30*VALORI!$B$4)-(AJ$31*VALORI!$B$4)-(AJ$32*VALORI!$B$3)-(AJ$33*VALORI!$B$5),0)</f>
        <v>0</v>
      </c>
      <c r="AK38" s="28">
        <f>IF(AK3&gt;0, AK3-(AK$30*VALORI!$B$4)-(AK$31*VALORI!$B$4)-(AK$32*VALORI!$B$3)-(AK$33*VALORI!$B$5),0)</f>
        <v>0</v>
      </c>
      <c r="AL38" s="28">
        <f>IF(AL3&gt;0, AL3-(AL$30*VALORI!$B$4)-(AL$31*VALORI!$B$4)-(AL$32*VALORI!$B$3)-(AL$33*VALORI!$B$5),0)</f>
        <v>0</v>
      </c>
      <c r="AM38" s="28">
        <f>IF(AM3&gt;0, AM3-(AM$30*VALORI!$B$4)-(AM$31*VALORI!$B$4)-(AM$32*VALORI!$B$3)-(AM$33*VALORI!$B$5),0)</f>
        <v>0</v>
      </c>
      <c r="AN38" s="28">
        <f>IF(AN3&gt;0, AN3-(AN$30*VALORI!$B$4)-(AN$31*VALORI!$B$4)-(AN$32*VALORI!$B$3)-(AN$33*VALORI!$B$5),0)</f>
        <v>0</v>
      </c>
      <c r="AO38" s="28">
        <f>IF(AO3&gt;0, AO3-(AO$30*VALORI!$B$4)-(AO$31*VALORI!$B$4)-(AO$32*VALORI!$B$3)-(AO$33*VALORI!$B$5),0)</f>
        <v>0</v>
      </c>
    </row>
    <row r="39" spans="15:41" ht="15.75" x14ac:dyDescent="0.25">
      <c r="O39" s="25">
        <v>9450</v>
      </c>
      <c r="P39" s="25">
        <f t="shared" ref="P39:P44" si="10">(O39*6%)+O39</f>
        <v>10017</v>
      </c>
      <c r="Q39" s="25">
        <f t="shared" ref="Q39:Q44" si="11">(P39*10%)+P39</f>
        <v>11018.7</v>
      </c>
      <c r="R39" s="25"/>
      <c r="W39" s="28">
        <f>IF(W4&gt;0, W4-(W$30*VALORI!$B$4)-(W$31*VALORI!$B$4)-(W$32*VALORI!$B$3)-(W$33*VALORI!$B$5),0)</f>
        <v>-578.87799999999993</v>
      </c>
      <c r="X39" s="28">
        <f>IF(X4&gt;0, X4-(X$30*VALORI!$B$4)-(X$31*VALORI!$B$4)-(X$32*VALORI!$B$3)-(X$33*VALORI!$B$5),0)</f>
        <v>-1516.2599999999998</v>
      </c>
      <c r="Y39" s="28">
        <f>IF(Y4&gt;0, Y4-(Y$30*VALORI!$B$4)-(Y$31*VALORI!$B$4)-(Y$32*VALORI!$B$3)-(Y$33*VALORI!$B$5),0)</f>
        <v>5008</v>
      </c>
      <c r="Z39" s="28">
        <f>IF(Z4&gt;0, Z4-(Z$30*VALORI!$B$4)-(Z$31*VALORI!$B$4)-(Z$32*VALORI!$B$3)-(Z$33*VALORI!$B$5),0)</f>
        <v>8908</v>
      </c>
      <c r="AA39" s="28">
        <f>IF(AA4&gt;0, AA4-(AA$30*VALORI!$B$4)-(AA$31*VALORI!$B$4)-(AA$32*VALORI!$B$3)-(AA$33*VALORI!$B$5),0)</f>
        <v>4568</v>
      </c>
      <c r="AB39" s="28">
        <f>IF(AB4&gt;0, AB4-(AB$30*VALORI!$B$4)-(AB$31*VALORI!$B$4)-(AB$32*VALORI!$B$3)-(AB$33*VALORI!$B$5),0)</f>
        <v>0</v>
      </c>
      <c r="AC39" s="28">
        <f>IF(AC4&gt;0, AC4-(AC$30*VALORI!$B$4)-(AC$31*VALORI!$B$4)-(AC$32*VALORI!$B$3)-(AC$33*VALORI!$B$5),0)</f>
        <v>4358</v>
      </c>
      <c r="AD39" s="28">
        <f>IF(AD4&gt;0, AD4-(AD$30*VALORI!$B$4)-(AD$31*VALORI!$B$4)-(AD$32*VALORI!$B$3)-(AD$33*VALORI!$B$5),0)</f>
        <v>0</v>
      </c>
      <c r="AE39" s="28">
        <f>IF(AE4&gt;0, AE4-(AE$30*VALORI!$B$4)-(AE$31*VALORI!$B$4)-(AE$32*VALORI!$B$3)-(AE$33*VALORI!$B$5),0)</f>
        <v>0</v>
      </c>
      <c r="AF39" s="28">
        <f>IF(AF4&gt;0, AF4-(AF$30*VALORI!$B$4)-(AF$31*VALORI!$B$4)-(AF$32*VALORI!$B$3)-(AF$33*VALORI!$B$5),0)</f>
        <v>0</v>
      </c>
      <c r="AG39" s="28">
        <f>IF(AG4&gt;0, AG4-(AG$30*VALORI!$B$4)-(AG$31*VALORI!$B$4)-(AG$32*VALORI!$B$3)-(AG$33*VALORI!$B$5),0)</f>
        <v>0</v>
      </c>
      <c r="AH39" s="28">
        <f>IF(AH4&gt;0, AH4-(AH$30*VALORI!$B$4)-(AH$31*VALORI!$B$4)-(AH$32*VALORI!$B$3)-(AH$33*VALORI!$B$5),0)</f>
        <v>0</v>
      </c>
      <c r="AI39" s="28">
        <f>IF(AI4&gt;0, AI4-(AI$30*VALORI!$B$4)-(AI$31*VALORI!$B$4)-(AI$32*VALORI!$B$3)-(AI$33*VALORI!$B$5),0)</f>
        <v>0</v>
      </c>
      <c r="AJ39" s="28">
        <f>IF(AJ4&gt;0, AJ4-(AJ$30*VALORI!$B$4)-(AJ$31*VALORI!$B$4)-(AJ$32*VALORI!$B$3)-(AJ$33*VALORI!$B$5),0)</f>
        <v>0</v>
      </c>
      <c r="AK39" s="28">
        <f>IF(AK4&gt;0, AK4-(AK$30*VALORI!$B$4)-(AK$31*VALORI!$B$4)-(AK$32*VALORI!$B$3)-(AK$33*VALORI!$B$5),0)</f>
        <v>0</v>
      </c>
      <c r="AL39" s="28">
        <f>IF(AL4&gt;0, AL4-(AL$30*VALORI!$B$4)-(AL$31*VALORI!$B$4)-(AL$32*VALORI!$B$3)-(AL$33*VALORI!$B$5),0)</f>
        <v>0</v>
      </c>
      <c r="AM39" s="28">
        <f>IF(AM4&gt;0, AM4-(AM$30*VALORI!$B$4)-(AM$31*VALORI!$B$4)-(AM$32*VALORI!$B$3)-(AM$33*VALORI!$B$5),0)</f>
        <v>0</v>
      </c>
      <c r="AN39" s="28">
        <f>IF(AN4&gt;0, AN4-(AN$30*VALORI!$B$4)-(AN$31*VALORI!$B$4)-(AN$32*VALORI!$B$3)-(AN$33*VALORI!$B$5),0)</f>
        <v>0</v>
      </c>
      <c r="AO39" s="28">
        <f>IF(AO4&gt;0, AO4-(AO$30*VALORI!$B$4)-(AO$31*VALORI!$B$4)-(AO$32*VALORI!$B$3)-(AO$33*VALORI!$B$5),0)</f>
        <v>0</v>
      </c>
    </row>
    <row r="40" spans="15:41" ht="15.75" x14ac:dyDescent="0.25">
      <c r="O40" s="25">
        <v>11550</v>
      </c>
      <c r="P40" s="25">
        <f t="shared" si="10"/>
        <v>12243</v>
      </c>
      <c r="Q40" s="25">
        <f t="shared" si="11"/>
        <v>13467.3</v>
      </c>
      <c r="R40" s="25"/>
      <c r="W40" s="28">
        <f>IF(W5&gt;0, W5-(W$30*VALORI!$B$4)-(W$31*VALORI!$B$4)-(W$32*VALORI!$B$3)-(W$33*VALORI!$B$5),0)</f>
        <v>-431.9620000000001</v>
      </c>
      <c r="X40" s="28">
        <f>IF(X5&gt;0, X5-(X$30*VALORI!$B$4)-(X$31*VALORI!$B$4)-(X$32*VALORI!$B$3)-(X$33*VALORI!$B$5),0)</f>
        <v>-1026.54</v>
      </c>
      <c r="Y40" s="28">
        <f>IF(Y5&gt;0, Y5-(Y$30*VALORI!$B$4)-(Y$31*VALORI!$B$4)-(Y$32*VALORI!$B$3)-(Y$33*VALORI!$B$5),0)</f>
        <v>5008</v>
      </c>
      <c r="Z40" s="28">
        <f>IF(Z5&gt;0, Z5-(Z$30*VALORI!$B$4)-(Z$31*VALORI!$B$4)-(Z$32*VALORI!$B$3)-(Z$33*VALORI!$B$5),0)</f>
        <v>8908</v>
      </c>
      <c r="AA40" s="28">
        <f>IF(AA5&gt;0, AA5-(AA$30*VALORI!$B$4)-(AA$31*VALORI!$B$4)-(AA$32*VALORI!$B$3)-(AA$33*VALORI!$B$5),0)</f>
        <v>11568</v>
      </c>
      <c r="AB40" s="28">
        <f>IF(AB5&gt;0, AB5-(AB$30*VALORI!$B$4)-(AB$31*VALORI!$B$4)-(AB$32*VALORI!$B$3)-(AB$33*VALORI!$B$5),0)</f>
        <v>0</v>
      </c>
      <c r="AC40" s="28">
        <f>IF(AC5&gt;0, AC5-(AC$30*VALORI!$B$4)-(AC$31*VALORI!$B$4)-(AC$32*VALORI!$B$3)-(AC$33*VALORI!$B$5),0)</f>
        <v>4358</v>
      </c>
      <c r="AD40" s="28">
        <f>IF(AD5&gt;0, AD5-(AD$30*VALORI!$B$4)-(AD$31*VALORI!$B$4)-(AD$32*VALORI!$B$3)-(AD$33*VALORI!$B$5),0)</f>
        <v>0</v>
      </c>
      <c r="AE40" s="28">
        <f>IF(AE5&gt;0, AE5-(AE$30*VALORI!$B$4)-(AE$31*VALORI!$B$4)-(AE$32*VALORI!$B$3)-(AE$33*VALORI!$B$5),0)</f>
        <v>0</v>
      </c>
      <c r="AF40" s="28">
        <f>IF(AF5&gt;0, AF5-(AF$30*VALORI!$B$4)-(AF$31*VALORI!$B$4)-(AF$32*VALORI!$B$3)-(AF$33*VALORI!$B$5),0)</f>
        <v>0</v>
      </c>
      <c r="AG40" s="28">
        <f>IF(AG5&gt;0, AG5-(AG$30*VALORI!$B$4)-(AG$31*VALORI!$B$4)-(AG$32*VALORI!$B$3)-(AG$33*VALORI!$B$5),0)</f>
        <v>0</v>
      </c>
      <c r="AH40" s="28">
        <f>IF(AH5&gt;0, AH5-(AH$30*VALORI!$B$4)-(AH$31*VALORI!$B$4)-(AH$32*VALORI!$B$3)-(AH$33*VALORI!$B$5),0)</f>
        <v>0</v>
      </c>
      <c r="AI40" s="28">
        <f>IF(AI5&gt;0, AI5-(AI$30*VALORI!$B$4)-(AI$31*VALORI!$B$4)-(AI$32*VALORI!$B$3)-(AI$33*VALORI!$B$5),0)</f>
        <v>0</v>
      </c>
      <c r="AJ40" s="28">
        <f>IF(AJ5&gt;0, AJ5-(AJ$30*VALORI!$B$4)-(AJ$31*VALORI!$B$4)-(AJ$32*VALORI!$B$3)-(AJ$33*VALORI!$B$5),0)</f>
        <v>0</v>
      </c>
      <c r="AK40" s="28">
        <f>IF(AK5&gt;0, AK5-(AK$30*VALORI!$B$4)-(AK$31*VALORI!$B$4)-(AK$32*VALORI!$B$3)-(AK$33*VALORI!$B$5),0)</f>
        <v>0</v>
      </c>
      <c r="AL40" s="28">
        <f>IF(AL5&gt;0, AL5-(AL$30*VALORI!$B$4)-(AL$31*VALORI!$B$4)-(AL$32*VALORI!$B$3)-(AL$33*VALORI!$B$5),0)</f>
        <v>0</v>
      </c>
      <c r="AM40" s="28">
        <f>IF(AM5&gt;0, AM5-(AM$30*VALORI!$B$4)-(AM$31*VALORI!$B$4)-(AM$32*VALORI!$B$3)-(AM$33*VALORI!$B$5),0)</f>
        <v>0</v>
      </c>
      <c r="AN40" s="28">
        <f>IF(AN5&gt;0, AN5-(AN$30*VALORI!$B$4)-(AN$31*VALORI!$B$4)-(AN$32*VALORI!$B$3)-(AN$33*VALORI!$B$5),0)</f>
        <v>0</v>
      </c>
      <c r="AO40" s="28">
        <f>IF(AO5&gt;0, AO5-(AO$30*VALORI!$B$4)-(AO$31*VALORI!$B$4)-(AO$32*VALORI!$B$3)-(AO$33*VALORI!$B$5),0)</f>
        <v>0</v>
      </c>
    </row>
    <row r="41" spans="15:41" ht="15.75" x14ac:dyDescent="0.25">
      <c r="O41" s="25">
        <v>16275</v>
      </c>
      <c r="P41" s="25">
        <f t="shared" si="10"/>
        <v>17251.5</v>
      </c>
      <c r="Q41" s="25">
        <f t="shared" si="11"/>
        <v>18976.650000000001</v>
      </c>
      <c r="R41" s="25"/>
      <c r="W41" s="28">
        <f>IF(W6&gt;0, W6-(W$30*VALORI!$B$4)-(W$31*VALORI!$B$4)-(W$32*VALORI!$B$3)-(W$33*VALORI!$B$5),0)</f>
        <v>-101.40100000000007</v>
      </c>
      <c r="X41" s="28">
        <f>IF(X6&gt;0, X6-(X$30*VALORI!$B$4)-(X$31*VALORI!$B$4)-(X$32*VALORI!$B$3)-(X$33*VALORI!$B$5),0)</f>
        <v>75.330000000000382</v>
      </c>
      <c r="Y41" s="28">
        <f>IF(Y6&gt;0, Y6-(Y$30*VALORI!$B$4)-(Y$31*VALORI!$B$4)-(Y$32*VALORI!$B$3)-(Y$33*VALORI!$B$5),0)</f>
        <v>5008</v>
      </c>
      <c r="Z41" s="28">
        <f>IF(Z6&gt;0, Z6-(Z$30*VALORI!$B$4)-(Z$31*VALORI!$B$4)-(Z$32*VALORI!$B$3)-(Z$33*VALORI!$B$5),0)</f>
        <v>8908</v>
      </c>
      <c r="AA41" s="28">
        <f>IF(AA6&gt;0, AA6-(AA$30*VALORI!$B$4)-(AA$31*VALORI!$B$4)-(AA$32*VALORI!$B$3)-(AA$33*VALORI!$B$5),0)</f>
        <v>2368</v>
      </c>
      <c r="AB41" s="28">
        <f>IF(AB6&gt;0, AB6-(AB$30*VALORI!$B$4)-(AB$31*VALORI!$B$4)-(AB$32*VALORI!$B$3)-(AB$33*VALORI!$B$5),0)</f>
        <v>0</v>
      </c>
      <c r="AC41" s="28">
        <f>IF(AC6&gt;0, AC6-(AC$30*VALORI!$B$4)-(AC$31*VALORI!$B$4)-(AC$32*VALORI!$B$3)-(AC$33*VALORI!$B$5),0)</f>
        <v>4358</v>
      </c>
      <c r="AD41" s="28">
        <f>IF(AD6&gt;0, AD6-(AD$30*VALORI!$B$4)-(AD$31*VALORI!$B$4)-(AD$32*VALORI!$B$3)-(AD$33*VALORI!$B$5),0)</f>
        <v>0</v>
      </c>
      <c r="AE41" s="28">
        <f>IF(AE6&gt;0, AE6-(AE$30*VALORI!$B$4)-(AE$31*VALORI!$B$4)-(AE$32*VALORI!$B$3)-(AE$33*VALORI!$B$5),0)</f>
        <v>0</v>
      </c>
      <c r="AF41" s="28">
        <f>IF(AF6&gt;0, AF6-(AF$30*VALORI!$B$4)-(AF$31*VALORI!$B$4)-(AF$32*VALORI!$B$3)-(AF$33*VALORI!$B$5),0)</f>
        <v>0</v>
      </c>
      <c r="AG41" s="28">
        <f>IF(AG6&gt;0, AG6-(AG$30*VALORI!$B$4)-(AG$31*VALORI!$B$4)-(AG$32*VALORI!$B$3)-(AG$33*VALORI!$B$5),0)</f>
        <v>0</v>
      </c>
      <c r="AH41" s="28">
        <f>IF(AH6&gt;0, AH6-(AH$30*VALORI!$B$4)-(AH$31*VALORI!$B$4)-(AH$32*VALORI!$B$3)-(AH$33*VALORI!$B$5),0)</f>
        <v>0</v>
      </c>
      <c r="AI41" s="28">
        <f>IF(AI6&gt;0, AI6-(AI$30*VALORI!$B$4)-(AI$31*VALORI!$B$4)-(AI$32*VALORI!$B$3)-(AI$33*VALORI!$B$5),0)</f>
        <v>0</v>
      </c>
      <c r="AJ41" s="28">
        <f>IF(AJ6&gt;0, AJ6-(AJ$30*VALORI!$B$4)-(AJ$31*VALORI!$B$4)-(AJ$32*VALORI!$B$3)-(AJ$33*VALORI!$B$5),0)</f>
        <v>0</v>
      </c>
      <c r="AK41" s="28">
        <f>IF(AK6&gt;0, AK6-(AK$30*VALORI!$B$4)-(AK$31*VALORI!$B$4)-(AK$32*VALORI!$B$3)-(AK$33*VALORI!$B$5),0)</f>
        <v>0</v>
      </c>
      <c r="AL41" s="28">
        <f>IF(AL6&gt;0, AL6-(AL$30*VALORI!$B$4)-(AL$31*VALORI!$B$4)-(AL$32*VALORI!$B$3)-(AL$33*VALORI!$B$5),0)</f>
        <v>0</v>
      </c>
      <c r="AM41" s="28">
        <f>IF(AM6&gt;0, AM6-(AM$30*VALORI!$B$4)-(AM$31*VALORI!$B$4)-(AM$32*VALORI!$B$3)-(AM$33*VALORI!$B$5),0)</f>
        <v>0</v>
      </c>
      <c r="AN41" s="28">
        <f>IF(AN6&gt;0, AN6-(AN$30*VALORI!$B$4)-(AN$31*VALORI!$B$4)-(AN$32*VALORI!$B$3)-(AN$33*VALORI!$B$5),0)</f>
        <v>0</v>
      </c>
      <c r="AO41" s="28">
        <f>IF(AO6&gt;0, AO6-(AO$30*VALORI!$B$4)-(AO$31*VALORI!$B$4)-(AO$32*VALORI!$B$3)-(AO$33*VALORI!$B$5),0)</f>
        <v>0</v>
      </c>
    </row>
    <row r="42" spans="15:41" ht="15.75" x14ac:dyDescent="0.25">
      <c r="O42" s="25">
        <v>16800</v>
      </c>
      <c r="P42" s="25">
        <f t="shared" si="10"/>
        <v>17808</v>
      </c>
      <c r="Q42" s="25">
        <f t="shared" si="11"/>
        <v>19588.8</v>
      </c>
      <c r="R42" s="25"/>
      <c r="W42" s="28">
        <f>IF(W7&gt;0, W7-(W$30*VALORI!$B$4)-(W$31*VALORI!$B$4)-(W$32*VALORI!$B$3)-(W$33*VALORI!$B$5),0)</f>
        <v>-64.672000000000025</v>
      </c>
      <c r="X42" s="28">
        <f>IF(X7&gt;0, X7-(X$30*VALORI!$B$4)-(X$31*VALORI!$B$4)-(X$32*VALORI!$B$3)-(X$33*VALORI!$B$5),0)</f>
        <v>197.76000000000022</v>
      </c>
      <c r="Y42" s="28">
        <f>IF(Y7&gt;0, Y7-(Y$30*VALORI!$B$4)-(Y$31*VALORI!$B$4)-(Y$32*VALORI!$B$3)-(Y$33*VALORI!$B$5),0)</f>
        <v>6008</v>
      </c>
      <c r="Z42" s="28">
        <f>IF(Z7&gt;0, Z7-(Z$30*VALORI!$B$4)-(Z$31*VALORI!$B$4)-(Z$32*VALORI!$B$3)-(Z$33*VALORI!$B$5),0)</f>
        <v>10558</v>
      </c>
      <c r="AA42" s="28">
        <f>IF(AA7&gt;0, AA7-(AA$30*VALORI!$B$4)-(AA$31*VALORI!$B$4)-(AA$32*VALORI!$B$3)-(AA$33*VALORI!$B$5),0)</f>
        <v>4568</v>
      </c>
      <c r="AB42" s="28">
        <f>IF(AB7&gt;0, AB7-(AB$30*VALORI!$B$4)-(AB$31*VALORI!$B$4)-(AB$32*VALORI!$B$3)-(AB$33*VALORI!$B$5),0)</f>
        <v>0</v>
      </c>
      <c r="AC42" s="28">
        <f>IF(AC7&gt;0, AC7-(AC$30*VALORI!$B$4)-(AC$31*VALORI!$B$4)-(AC$32*VALORI!$B$3)-(AC$33*VALORI!$B$5),0)</f>
        <v>4358</v>
      </c>
      <c r="AD42" s="28">
        <f>IF(AD7&gt;0, AD7-(AD$30*VALORI!$B$4)-(AD$31*VALORI!$B$4)-(AD$32*VALORI!$B$3)-(AD$33*VALORI!$B$5),0)</f>
        <v>0</v>
      </c>
      <c r="AE42" s="28">
        <f>IF(AE7&gt;0, AE7-(AE$30*VALORI!$B$4)-(AE$31*VALORI!$B$4)-(AE$32*VALORI!$B$3)-(AE$33*VALORI!$B$5),0)</f>
        <v>0</v>
      </c>
      <c r="AF42" s="28">
        <f>IF(AF7&gt;0, AF7-(AF$30*VALORI!$B$4)-(AF$31*VALORI!$B$4)-(AF$32*VALORI!$B$3)-(AF$33*VALORI!$B$5),0)</f>
        <v>0</v>
      </c>
      <c r="AG42" s="28">
        <f>IF(AG7&gt;0, AG7-(AG$30*VALORI!$B$4)-(AG$31*VALORI!$B$4)-(AG$32*VALORI!$B$3)-(AG$33*VALORI!$B$5),0)</f>
        <v>0</v>
      </c>
      <c r="AH42" s="28">
        <f>IF(AH7&gt;0, AH7-(AH$30*VALORI!$B$4)-(AH$31*VALORI!$B$4)-(AH$32*VALORI!$B$3)-(AH$33*VALORI!$B$5),0)</f>
        <v>0</v>
      </c>
      <c r="AI42" s="28">
        <f>IF(AI7&gt;0, AI7-(AI$30*VALORI!$B$4)-(AI$31*VALORI!$B$4)-(AI$32*VALORI!$B$3)-(AI$33*VALORI!$B$5),0)</f>
        <v>0</v>
      </c>
      <c r="AJ42" s="28">
        <f>IF(AJ7&gt;0, AJ7-(AJ$30*VALORI!$B$4)-(AJ$31*VALORI!$B$4)-(AJ$32*VALORI!$B$3)-(AJ$33*VALORI!$B$5),0)</f>
        <v>0</v>
      </c>
      <c r="AK42" s="28">
        <f>IF(AK7&gt;0, AK7-(AK$30*VALORI!$B$4)-(AK$31*VALORI!$B$4)-(AK$32*VALORI!$B$3)-(AK$33*VALORI!$B$5),0)</f>
        <v>0</v>
      </c>
      <c r="AL42" s="28">
        <f>IF(AL7&gt;0, AL7-(AL$30*VALORI!$B$4)-(AL$31*VALORI!$B$4)-(AL$32*VALORI!$B$3)-(AL$33*VALORI!$B$5),0)</f>
        <v>0</v>
      </c>
      <c r="AM42" s="28">
        <f>IF(AM7&gt;0, AM7-(AM$30*VALORI!$B$4)-(AM$31*VALORI!$B$4)-(AM$32*VALORI!$B$3)-(AM$33*VALORI!$B$5),0)</f>
        <v>0</v>
      </c>
      <c r="AN42" s="28">
        <f>IF(AN7&gt;0, AN7-(AN$30*VALORI!$B$4)-(AN$31*VALORI!$B$4)-(AN$32*VALORI!$B$3)-(AN$33*VALORI!$B$5),0)</f>
        <v>0</v>
      </c>
      <c r="AO42" s="28">
        <f>IF(AO7&gt;0, AO7-(AO$30*VALORI!$B$4)-(AO$31*VALORI!$B$4)-(AO$32*VALORI!$B$3)-(AO$33*VALORI!$B$5),0)</f>
        <v>0</v>
      </c>
    </row>
    <row r="43" spans="15:41" ht="15.75" x14ac:dyDescent="0.25">
      <c r="O43" s="25">
        <v>18900</v>
      </c>
      <c r="P43" s="25">
        <f t="shared" si="10"/>
        <v>20034</v>
      </c>
      <c r="Q43" s="25">
        <f t="shared" si="11"/>
        <v>22037.4</v>
      </c>
      <c r="R43" s="25"/>
      <c r="W43" s="28">
        <f>IF(W8&gt;0, W8-(W$30*VALORI!$B$4)-(W$31*VALORI!$B$4)-(W$32*VALORI!$B$3)-(W$33*VALORI!$B$5),0)</f>
        <v>82.244000000000142</v>
      </c>
      <c r="X43" s="28">
        <f>IF(X8&gt;0, X8-(X$30*VALORI!$B$4)-(X$31*VALORI!$B$4)-(X$32*VALORI!$B$3)-(X$33*VALORI!$B$5),0)</f>
        <v>687.48000000000047</v>
      </c>
      <c r="Y43" s="28">
        <f>IF(Y8&gt;0, Y8-(Y$30*VALORI!$B$4)-(Y$31*VALORI!$B$4)-(Y$32*VALORI!$B$3)-(Y$33*VALORI!$B$5),0)</f>
        <v>7008</v>
      </c>
      <c r="Z43" s="28">
        <f>IF(Z8&gt;0, Z8-(Z$30*VALORI!$B$4)-(Z$31*VALORI!$B$4)-(Z$32*VALORI!$B$3)-(Z$33*VALORI!$B$5),0)</f>
        <v>12208</v>
      </c>
      <c r="AA43" s="28">
        <f>IF(AA8&gt;0, AA8-(AA$30*VALORI!$B$4)-(AA$31*VALORI!$B$4)-(AA$32*VALORI!$B$3)-(AA$33*VALORI!$B$5),0)</f>
        <v>11568</v>
      </c>
      <c r="AB43" s="28">
        <f>IF(AB8&gt;0, AB8-(AB$30*VALORI!$B$4)-(AB$31*VALORI!$B$4)-(AB$32*VALORI!$B$3)-(AB$33*VALORI!$B$5),0)</f>
        <v>0</v>
      </c>
      <c r="AC43" s="28">
        <f>IF(AC8&gt;0, AC8-(AC$30*VALORI!$B$4)-(AC$31*VALORI!$B$4)-(AC$32*VALORI!$B$3)-(AC$33*VALORI!$B$5),0)</f>
        <v>4358</v>
      </c>
      <c r="AD43" s="28">
        <f>IF(AD8&gt;0, AD8-(AD$30*VALORI!$B$4)-(AD$31*VALORI!$B$4)-(AD$32*VALORI!$B$3)-(AD$33*VALORI!$B$5),0)</f>
        <v>0</v>
      </c>
      <c r="AE43" s="28">
        <f>IF(AE8&gt;0, AE8-(AE$30*VALORI!$B$4)-(AE$31*VALORI!$B$4)-(AE$32*VALORI!$B$3)-(AE$33*VALORI!$B$5),0)</f>
        <v>0</v>
      </c>
      <c r="AF43" s="28">
        <f>IF(AF8&gt;0, AF8-(AF$30*VALORI!$B$4)-(AF$31*VALORI!$B$4)-(AF$32*VALORI!$B$3)-(AF$33*VALORI!$B$5),0)</f>
        <v>0</v>
      </c>
      <c r="AG43" s="28">
        <f>IF(AG8&gt;0, AG8-(AG$30*VALORI!$B$4)-(AG$31*VALORI!$B$4)-(AG$32*VALORI!$B$3)-(AG$33*VALORI!$B$5),0)</f>
        <v>0</v>
      </c>
      <c r="AH43" s="28">
        <f>IF(AH8&gt;0, AH8-(AH$30*VALORI!$B$4)-(AH$31*VALORI!$B$4)-(AH$32*VALORI!$B$3)-(AH$33*VALORI!$B$5),0)</f>
        <v>0</v>
      </c>
      <c r="AI43" s="28">
        <f>IF(AI8&gt;0, AI8-(AI$30*VALORI!$B$4)-(AI$31*VALORI!$B$4)-(AI$32*VALORI!$B$3)-(AI$33*VALORI!$B$5),0)</f>
        <v>0</v>
      </c>
      <c r="AJ43" s="28">
        <f>IF(AJ8&gt;0, AJ8-(AJ$30*VALORI!$B$4)-(AJ$31*VALORI!$B$4)-(AJ$32*VALORI!$B$3)-(AJ$33*VALORI!$B$5),0)</f>
        <v>0</v>
      </c>
      <c r="AK43" s="28">
        <f>IF(AK8&gt;0, AK8-(AK$30*VALORI!$B$4)-(AK$31*VALORI!$B$4)-(AK$32*VALORI!$B$3)-(AK$33*VALORI!$B$5),0)</f>
        <v>0</v>
      </c>
      <c r="AL43" s="28">
        <f>IF(AL8&gt;0, AL8-(AL$30*VALORI!$B$4)-(AL$31*VALORI!$B$4)-(AL$32*VALORI!$B$3)-(AL$33*VALORI!$B$5),0)</f>
        <v>0</v>
      </c>
      <c r="AM43" s="28">
        <f>IF(AM8&gt;0, AM8-(AM$30*VALORI!$B$4)-(AM$31*VALORI!$B$4)-(AM$32*VALORI!$B$3)-(AM$33*VALORI!$B$5),0)</f>
        <v>0</v>
      </c>
      <c r="AN43" s="28">
        <f>IF(AN8&gt;0, AN8-(AN$30*VALORI!$B$4)-(AN$31*VALORI!$B$4)-(AN$32*VALORI!$B$3)-(AN$33*VALORI!$B$5),0)</f>
        <v>0</v>
      </c>
      <c r="AO43" s="28">
        <f>IF(AO8&gt;0, AO8-(AO$30*VALORI!$B$4)-(AO$31*VALORI!$B$4)-(AO$32*VALORI!$B$3)-(AO$33*VALORI!$B$5),0)</f>
        <v>0</v>
      </c>
    </row>
    <row r="44" spans="15:41" ht="15.75" x14ac:dyDescent="0.25">
      <c r="O44" s="25">
        <v>20800</v>
      </c>
      <c r="P44" s="25">
        <f t="shared" si="10"/>
        <v>22048</v>
      </c>
      <c r="Q44" s="25">
        <f t="shared" si="11"/>
        <v>24252.799999999999</v>
      </c>
      <c r="R44" s="25"/>
      <c r="W44" s="28">
        <f>IF(W9&gt;0, W9-(W$30*VALORI!$B$4)-(W$31*VALORI!$B$4)-(W$32*VALORI!$B$3)-(W$33*VALORI!$B$5),0)</f>
        <v>215.16799999999989</v>
      </c>
      <c r="X44" s="28">
        <f>IF(X9&gt;0, X9-(X$30*VALORI!$B$4)-(X$31*VALORI!$B$4)-(X$32*VALORI!$B$3)-(X$33*VALORI!$B$5),0)</f>
        <v>1130.5600000000004</v>
      </c>
      <c r="Y44" s="28">
        <f>IF(Y9&gt;0, Y9-(Y$30*VALORI!$B$4)-(Y$31*VALORI!$B$4)-(Y$32*VALORI!$B$3)-(Y$33*VALORI!$B$5),0)</f>
        <v>7508</v>
      </c>
      <c r="Z44" s="28">
        <f>IF(Z9&gt;0, Z9-(Z$30*VALORI!$B$4)-(Z$31*VALORI!$B$4)-(Z$32*VALORI!$B$3)-(Z$33*VALORI!$B$5),0)</f>
        <v>13033</v>
      </c>
      <c r="AA44" s="28">
        <f>IF(AA9&gt;0, AA9-(AA$30*VALORI!$B$4)-(AA$31*VALORI!$B$4)-(AA$32*VALORI!$B$3)-(AA$33*VALORI!$B$5),0)</f>
        <v>11568</v>
      </c>
      <c r="AB44" s="28">
        <f>IF(AB9&gt;0, AB9-(AB$30*VALORI!$B$4)-(AB$31*VALORI!$B$4)-(AB$32*VALORI!$B$3)-(AB$33*VALORI!$B$5),0)</f>
        <v>0</v>
      </c>
      <c r="AC44" s="28">
        <f>IF(AC9&gt;0, AC9-(AC$30*VALORI!$B$4)-(AC$31*VALORI!$B$4)-(AC$32*VALORI!$B$3)-(AC$33*VALORI!$B$5),0)</f>
        <v>4358</v>
      </c>
      <c r="AD44" s="28">
        <f>IF(AD9&gt;0, AD9-(AD$30*VALORI!$B$4)-(AD$31*VALORI!$B$4)-(AD$32*VALORI!$B$3)-(AD$33*VALORI!$B$5),0)</f>
        <v>0</v>
      </c>
      <c r="AE44" s="28">
        <f>IF(AE9&gt;0, AE9-(AE$30*VALORI!$B$4)-(AE$31*VALORI!$B$4)-(AE$32*VALORI!$B$3)-(AE$33*VALORI!$B$5),0)</f>
        <v>0</v>
      </c>
      <c r="AF44" s="28">
        <f>IF(AF9&gt;0, AF9-(AF$30*VALORI!$B$4)-(AF$31*VALORI!$B$4)-(AF$32*VALORI!$B$3)-(AF$33*VALORI!$B$5),0)</f>
        <v>0</v>
      </c>
      <c r="AG44" s="28">
        <f>IF(AG9&gt;0, AG9-(AG$30*VALORI!$B$4)-(AG$31*VALORI!$B$4)-(AG$32*VALORI!$B$3)-(AG$33*VALORI!$B$5),0)</f>
        <v>0</v>
      </c>
      <c r="AH44" s="28">
        <f>IF(AH9&gt;0, AH9-(AH$30*VALORI!$B$4)-(AH$31*VALORI!$B$4)-(AH$32*VALORI!$B$3)-(AH$33*VALORI!$B$5),0)</f>
        <v>0</v>
      </c>
      <c r="AI44" s="28">
        <f>IF(AI9&gt;0, AI9-(AI$30*VALORI!$B$4)-(AI$31*VALORI!$B$4)-(AI$32*VALORI!$B$3)-(AI$33*VALORI!$B$5),0)</f>
        <v>0</v>
      </c>
      <c r="AJ44" s="28">
        <f>IF(AJ9&gt;0, AJ9-(AJ$30*VALORI!$B$4)-(AJ$31*VALORI!$B$4)-(AJ$32*VALORI!$B$3)-(AJ$33*VALORI!$B$5),0)</f>
        <v>0</v>
      </c>
      <c r="AK44" s="28">
        <f>IF(AK9&gt;0, AK9-(AK$30*VALORI!$B$4)-(AK$31*VALORI!$B$4)-(AK$32*VALORI!$B$3)-(AK$33*VALORI!$B$5),0)</f>
        <v>0</v>
      </c>
      <c r="AL44" s="28">
        <f>IF(AL9&gt;0, AL9-(AL$30*VALORI!$B$4)-(AL$31*VALORI!$B$4)-(AL$32*VALORI!$B$3)-(AL$33*VALORI!$B$5),0)</f>
        <v>0</v>
      </c>
      <c r="AM44" s="28">
        <f>IF(AM9&gt;0, AM9-(AM$30*VALORI!$B$4)-(AM$31*VALORI!$B$4)-(AM$32*VALORI!$B$3)-(AM$33*VALORI!$B$5),0)</f>
        <v>0</v>
      </c>
      <c r="AN44" s="28">
        <f>IF(AN9&gt;0, AN9-(AN$30*VALORI!$B$4)-(AN$31*VALORI!$B$4)-(AN$32*VALORI!$B$3)-(AN$33*VALORI!$B$5),0)</f>
        <v>0</v>
      </c>
      <c r="AO44" s="28">
        <f>IF(AO9&gt;0, AO9-(AO$30*VALORI!$B$4)-(AO$31*VALORI!$B$4)-(AO$32*VALORI!$B$3)-(AO$33*VALORI!$B$5),0)</f>
        <v>0</v>
      </c>
    </row>
    <row r="45" spans="15:41" ht="15.75" x14ac:dyDescent="0.25">
      <c r="W45" s="28">
        <f>IF(W10&gt;0, W10-(W$30*VALORI!$B$4)-(W$31*VALORI!$B$4)-(W$32*VALORI!$B$3)-(W$33*VALORI!$B$5),0)</f>
        <v>0</v>
      </c>
      <c r="X45" s="28">
        <f>IF(X10&gt;0, X10-(X$30*VALORI!$B$4)-(X$31*VALORI!$B$4)-(X$32*VALORI!$B$3)-(X$33*VALORI!$B$5),0)</f>
        <v>0</v>
      </c>
      <c r="Y45" s="28">
        <f>IF(Y10&gt;0, Y10-(Y$30*VALORI!$B$4)-(Y$31*VALORI!$B$4)-(Y$32*VALORI!$B$3)-(Y$33*VALORI!$B$5),0)</f>
        <v>0</v>
      </c>
      <c r="Z45" s="28">
        <f>IF(Z10&gt;0, Z10-(Z$30*VALORI!$B$4)-(Z$31*VALORI!$B$4)-(Z$32*VALORI!$B$3)-(Z$33*VALORI!$B$5),0)</f>
        <v>0</v>
      </c>
      <c r="AA45" s="28">
        <f>IF(AA10&gt;0, AA10-(AA$30*VALORI!$B$4)-(AA$31*VALORI!$B$4)-(AA$32*VALORI!$B$3)-(AA$33*VALORI!$B$5),0)</f>
        <v>0</v>
      </c>
      <c r="AB45" s="28">
        <f>IF(AB10&gt;0, AB10-(AB$30*VALORI!$B$4)-(AB$31*VALORI!$B$4)-(AB$32*VALORI!$B$3)-(AB$33*VALORI!$B$5),0)</f>
        <v>0</v>
      </c>
      <c r="AC45" s="28">
        <f>IF(AC10&gt;0, AC10-(AC$30*VALORI!$B$4)-(AC$31*VALORI!$B$4)-(AC$32*VALORI!$B$3)-(AC$33*VALORI!$B$5),0)</f>
        <v>0</v>
      </c>
      <c r="AD45" s="28">
        <f>IF(AD10&gt;0, AD10-(AD$30*VALORI!$B$4)-(AD$31*VALORI!$B$4)-(AD$32*VALORI!$B$3)-(AD$33*VALORI!$B$5),0)</f>
        <v>0</v>
      </c>
      <c r="AE45" s="28">
        <f>IF(AE10&gt;0, AE10-(AE$30*VALORI!$B$4)-(AE$31*VALORI!$B$4)-(AE$32*VALORI!$B$3)-(AE$33*VALORI!$B$5),0)</f>
        <v>0</v>
      </c>
      <c r="AF45" s="28">
        <f>IF(AF10&gt;0, AF10-(AF$30*VALORI!$B$4)-(AF$31*VALORI!$B$4)-(AF$32*VALORI!$B$3)-(AF$33*VALORI!$B$5),0)</f>
        <v>0</v>
      </c>
      <c r="AG45" s="28">
        <f>IF(AG10&gt;0, AG10-(AG$30*VALORI!$B$4)-(AG$31*VALORI!$B$4)-(AG$32*VALORI!$B$3)-(AG$33*VALORI!$B$5),0)</f>
        <v>0</v>
      </c>
      <c r="AH45" s="28">
        <f>IF(AH10&gt;0, AH10-(AH$30*VALORI!$B$4)-(AH$31*VALORI!$B$4)-(AH$32*VALORI!$B$3)-(AH$33*VALORI!$B$5),0)</f>
        <v>0</v>
      </c>
      <c r="AI45" s="28">
        <f>IF(AI10&gt;0, AI10-(AI$30*VALORI!$B$4)-(AI$31*VALORI!$B$4)-(AI$32*VALORI!$B$3)-(AI$33*VALORI!$B$5),0)</f>
        <v>0</v>
      </c>
      <c r="AJ45" s="28">
        <f>IF(AJ10&gt;0, AJ10-(AJ$30*VALORI!$B$4)-(AJ$31*VALORI!$B$4)-(AJ$32*VALORI!$B$3)-(AJ$33*VALORI!$B$5),0)</f>
        <v>0</v>
      </c>
      <c r="AK45" s="28">
        <f>IF(AK10&gt;0, AK10-(AK$30*VALORI!$B$4)-(AK$31*VALORI!$B$4)-(AK$32*VALORI!$B$3)-(AK$33*VALORI!$B$5),0)</f>
        <v>0</v>
      </c>
      <c r="AL45" s="28">
        <f>IF(AL10&gt;0, AL10-(AL$30*VALORI!$B$4)-(AL$31*VALORI!$B$4)-(AL$32*VALORI!$B$3)-(AL$33*VALORI!$B$5),0)</f>
        <v>0</v>
      </c>
      <c r="AM45" s="28">
        <f>IF(AM10&gt;0, AM10-(AM$30*VALORI!$B$4)-(AM$31*VALORI!$B$4)-(AM$32*VALORI!$B$3)-(AM$33*VALORI!$B$5),0)</f>
        <v>0</v>
      </c>
      <c r="AN45" s="28">
        <f>IF(AN10&gt;0, AN10-(AN$30*VALORI!$B$4)-(AN$31*VALORI!$B$4)-(AN$32*VALORI!$B$3)-(AN$33*VALORI!$B$5),0)</f>
        <v>0</v>
      </c>
      <c r="AO45" s="28">
        <f>IF(AO10&gt;0, AO10-(AO$30*VALORI!$B$4)-(AO$31*VALORI!$B$4)-(AO$32*VALORI!$B$3)-(AO$33*VALORI!$B$5),0)</f>
        <v>0</v>
      </c>
    </row>
    <row r="46" spans="15:41" ht="15.75" x14ac:dyDescent="0.25">
      <c r="W46" s="28">
        <f>IF(W11&gt;0, W11-(W$30*VALORI!$B$4)-(W$31*VALORI!$B$4)-(W$32*VALORI!$B$3)-(W$33*VALORI!$B$5),0)</f>
        <v>0</v>
      </c>
      <c r="X46" s="28">
        <f>IF(X11&gt;0, X11-(X$30*VALORI!$B$4)-(X$31*VALORI!$B$4)-(X$32*VALORI!$B$3)-(X$33*VALORI!$B$5),0)</f>
        <v>0</v>
      </c>
      <c r="Y46" s="28">
        <f>IF(Y11&gt;0, Y11-(Y$30*VALORI!$B$4)-(Y$31*VALORI!$B$4)-(Y$32*VALORI!$B$3)-(Y$33*VALORI!$B$5),0)</f>
        <v>0</v>
      </c>
      <c r="Z46" s="28">
        <f>IF(Z11&gt;0, Z11-(Z$30*VALORI!$B$4)-(Z$31*VALORI!$B$4)-(Z$32*VALORI!$B$3)-(Z$33*VALORI!$B$5),0)</f>
        <v>0</v>
      </c>
      <c r="AA46" s="28">
        <f>IF(AA11&gt;0, AA11-(AA$30*VALORI!$B$4)-(AA$31*VALORI!$B$4)-(AA$32*VALORI!$B$3)-(AA$33*VALORI!$B$5),0)</f>
        <v>0</v>
      </c>
      <c r="AB46" s="28">
        <f>IF(AB11&gt;0, AB11-(AB$30*VALORI!$B$4)-(AB$31*VALORI!$B$4)-(AB$32*VALORI!$B$3)-(AB$33*VALORI!$B$5),0)</f>
        <v>0</v>
      </c>
      <c r="AC46" s="28">
        <f>IF(AC11&gt;0, AC11-(AC$30*VALORI!$B$4)-(AC$31*VALORI!$B$4)-(AC$32*VALORI!$B$3)-(AC$33*VALORI!$B$5),0)</f>
        <v>0</v>
      </c>
      <c r="AD46" s="28">
        <f>IF(AD11&gt;0, AD11-(AD$30*VALORI!$B$4)-(AD$31*VALORI!$B$4)-(AD$32*VALORI!$B$3)-(AD$33*VALORI!$B$5),0)</f>
        <v>0</v>
      </c>
      <c r="AE46" s="28">
        <f>IF(AE11&gt;0, AE11-(AE$30*VALORI!$B$4)-(AE$31*VALORI!$B$4)-(AE$32*VALORI!$B$3)-(AE$33*VALORI!$B$5),0)</f>
        <v>0</v>
      </c>
      <c r="AF46" s="28">
        <f>IF(AF11&gt;0, AF11-(AF$30*VALORI!$B$4)-(AF$31*VALORI!$B$4)-(AF$32*VALORI!$B$3)-(AF$33*VALORI!$B$5),0)</f>
        <v>0</v>
      </c>
      <c r="AG46" s="28">
        <f>IF(AG11&gt;0, AG11-(AG$30*VALORI!$B$4)-(AG$31*VALORI!$B$4)-(AG$32*VALORI!$B$3)-(AG$33*VALORI!$B$5),0)</f>
        <v>0</v>
      </c>
      <c r="AH46" s="28">
        <f>IF(AH11&gt;0, AH11-(AH$30*VALORI!$B$4)-(AH$31*VALORI!$B$4)-(AH$32*VALORI!$B$3)-(AH$33*VALORI!$B$5),0)</f>
        <v>0</v>
      </c>
      <c r="AI46" s="28">
        <f>IF(AI11&gt;0, AI11-(AI$30*VALORI!$B$4)-(AI$31*VALORI!$B$4)-(AI$32*VALORI!$B$3)-(AI$33*VALORI!$B$5),0)</f>
        <v>0</v>
      </c>
      <c r="AJ46" s="28">
        <f>IF(AJ11&gt;0, AJ11-(AJ$30*VALORI!$B$4)-(AJ$31*VALORI!$B$4)-(AJ$32*VALORI!$B$3)-(AJ$33*VALORI!$B$5),0)</f>
        <v>0</v>
      </c>
      <c r="AK46" s="28">
        <f>IF(AK11&gt;0, AK11-(AK$30*VALORI!$B$4)-(AK$31*VALORI!$B$4)-(AK$32*VALORI!$B$3)-(AK$33*VALORI!$B$5),0)</f>
        <v>0</v>
      </c>
      <c r="AL46" s="28">
        <f>IF(AL11&gt;0, AL11-(AL$30*VALORI!$B$4)-(AL$31*VALORI!$B$4)-(AL$32*VALORI!$B$3)-(AL$33*VALORI!$B$5),0)</f>
        <v>0</v>
      </c>
      <c r="AM46" s="28">
        <f>IF(AM11&gt;0, AM11-(AM$30*VALORI!$B$4)-(AM$31*VALORI!$B$4)-(AM$32*VALORI!$B$3)-(AM$33*VALORI!$B$5),0)</f>
        <v>0</v>
      </c>
      <c r="AN46" s="28">
        <f>IF(AN11&gt;0, AN11-(AN$30*VALORI!$B$4)-(AN$31*VALORI!$B$4)-(AN$32*VALORI!$B$3)-(AN$33*VALORI!$B$5),0)</f>
        <v>0</v>
      </c>
      <c r="AO46" s="28">
        <f>IF(AO11&gt;0, AO11-(AO$30*VALORI!$B$4)-(AO$31*VALORI!$B$4)-(AO$32*VALORI!$B$3)-(AO$33*VALORI!$B$5),0)</f>
        <v>0</v>
      </c>
    </row>
    <row r="47" spans="15:41" ht="15.75" x14ac:dyDescent="0.25">
      <c r="W47" s="28">
        <f>IF(W12&gt;0, W12-(W$30*VALORI!$B$4)-(W$31*VALORI!$B$4)-(W$32*VALORI!$B$3)-(W$33*VALORI!$B$5),0)</f>
        <v>0</v>
      </c>
      <c r="X47" s="28">
        <f>IF(X12&gt;0, X12-(X$30*VALORI!$B$4)-(X$31*VALORI!$B$4)-(X$32*VALORI!$B$3)-(X$33*VALORI!$B$5),0)</f>
        <v>0</v>
      </c>
      <c r="Y47" s="28">
        <f>IF(Y12&gt;0, Y12-(Y$30*VALORI!$B$4)-(Y$31*VALORI!$B$4)-(Y$32*VALORI!$B$3)-(Y$33*VALORI!$B$5),0)</f>
        <v>0</v>
      </c>
      <c r="Z47" s="28">
        <f>IF(Z12&gt;0, Z12-(Z$30*VALORI!$B$4)-(Z$31*VALORI!$B$4)-(Z$32*VALORI!$B$3)-(Z$33*VALORI!$B$5),0)</f>
        <v>0</v>
      </c>
      <c r="AA47" s="28">
        <f>IF(AA12&gt;0, AA12-(AA$30*VALORI!$B$4)-(AA$31*VALORI!$B$4)-(AA$32*VALORI!$B$3)-(AA$33*VALORI!$B$5),0)</f>
        <v>0</v>
      </c>
      <c r="AB47" s="28">
        <f>IF(AB12&gt;0, AB12-(AB$30*VALORI!$B$4)-(AB$31*VALORI!$B$4)-(AB$32*VALORI!$B$3)-(AB$33*VALORI!$B$5),0)</f>
        <v>0</v>
      </c>
      <c r="AC47" s="28">
        <f>IF(AC12&gt;0, AC12-(AC$30*VALORI!$B$4)-(AC$31*VALORI!$B$4)-(AC$32*VALORI!$B$3)-(AC$33*VALORI!$B$5),0)</f>
        <v>0</v>
      </c>
      <c r="AD47" s="28">
        <f>IF(AD12&gt;0, AD12-(AD$30*VALORI!$B$4)-(AD$31*VALORI!$B$4)-(AD$32*VALORI!$B$3)-(AD$33*VALORI!$B$5),0)</f>
        <v>0</v>
      </c>
      <c r="AE47" s="28">
        <f>IF(AE12&gt;0, AE12-(AE$30*VALORI!$B$4)-(AE$31*VALORI!$B$4)-(AE$32*VALORI!$B$3)-(AE$33*VALORI!$B$5),0)</f>
        <v>0</v>
      </c>
      <c r="AF47" s="28">
        <f>IF(AF12&gt;0, AF12-(AF$30*VALORI!$B$4)-(AF$31*VALORI!$B$4)-(AF$32*VALORI!$B$3)-(AF$33*VALORI!$B$5),0)</f>
        <v>0</v>
      </c>
      <c r="AG47" s="28">
        <f>IF(AG12&gt;0, AG12-(AG$30*VALORI!$B$4)-(AG$31*VALORI!$B$4)-(AG$32*VALORI!$B$3)-(AG$33*VALORI!$B$5),0)</f>
        <v>0</v>
      </c>
      <c r="AH47" s="28">
        <f>IF(AH12&gt;0, AH12-(AH$30*VALORI!$B$4)-(AH$31*VALORI!$B$4)-(AH$32*VALORI!$B$3)-(AH$33*VALORI!$B$5),0)</f>
        <v>0</v>
      </c>
      <c r="AI47" s="28">
        <f>IF(AI12&gt;0, AI12-(AI$30*VALORI!$B$4)-(AI$31*VALORI!$B$4)-(AI$32*VALORI!$B$3)-(AI$33*VALORI!$B$5),0)</f>
        <v>0</v>
      </c>
      <c r="AJ47" s="28">
        <f>IF(AJ12&gt;0, AJ12-(AJ$30*VALORI!$B$4)-(AJ$31*VALORI!$B$4)-(AJ$32*VALORI!$B$3)-(AJ$33*VALORI!$B$5),0)</f>
        <v>0</v>
      </c>
      <c r="AK47" s="28">
        <f>IF(AK12&gt;0, AK12-(AK$30*VALORI!$B$4)-(AK$31*VALORI!$B$4)-(AK$32*VALORI!$B$3)-(AK$33*VALORI!$B$5),0)</f>
        <v>0</v>
      </c>
      <c r="AL47" s="28">
        <f>IF(AL12&gt;0, AL12-(AL$30*VALORI!$B$4)-(AL$31*VALORI!$B$4)-(AL$32*VALORI!$B$3)-(AL$33*VALORI!$B$5),0)</f>
        <v>0</v>
      </c>
      <c r="AM47" s="28">
        <f>IF(AM12&gt;0, AM12-(AM$30*VALORI!$B$4)-(AM$31*VALORI!$B$4)-(AM$32*VALORI!$B$3)-(AM$33*VALORI!$B$5),0)</f>
        <v>0</v>
      </c>
      <c r="AN47" s="28">
        <f>IF(AN12&gt;0, AN12-(AN$30*VALORI!$B$4)-(AN$31*VALORI!$B$4)-(AN$32*VALORI!$B$3)-(AN$33*VALORI!$B$5),0)</f>
        <v>0</v>
      </c>
      <c r="AO47" s="28">
        <f>IF(AO12&gt;0, AO12-(AO$30*VALORI!$B$4)-(AO$31*VALORI!$B$4)-(AO$32*VALORI!$B$3)-(AO$33*VALORI!$B$5),0)</f>
        <v>0</v>
      </c>
    </row>
    <row r="48" spans="15:41" ht="15.75" x14ac:dyDescent="0.25">
      <c r="W48" s="28">
        <f>IF(W13&gt;0, W13-(W$30*VALORI!$B$4)-(W$31*VALORI!$B$4)-(W$32*VALORI!$B$3)-(W$33*VALORI!$B$5),0)</f>
        <v>0</v>
      </c>
      <c r="X48" s="28">
        <f>IF(X13&gt;0, X13-(X$30*VALORI!$B$4)-(X$31*VALORI!$B$4)-(X$32*VALORI!$B$3)-(X$33*VALORI!$B$5),0)</f>
        <v>0</v>
      </c>
      <c r="Y48" s="28">
        <f>IF(Y13&gt;0, Y13-(Y$30*VALORI!$B$4)-(Y$31*VALORI!$B$4)-(Y$32*VALORI!$B$3)-(Y$33*VALORI!$B$5),0)</f>
        <v>0</v>
      </c>
      <c r="Z48" s="28">
        <f>IF(Z13&gt;0, Z13-(Z$30*VALORI!$B$4)-(Z$31*VALORI!$B$4)-(Z$32*VALORI!$B$3)-(Z$33*VALORI!$B$5),0)</f>
        <v>0</v>
      </c>
      <c r="AA48" s="28">
        <f>IF(AA13&gt;0, AA13-(AA$30*VALORI!$B$4)-(AA$31*VALORI!$B$4)-(AA$32*VALORI!$B$3)-(AA$33*VALORI!$B$5),0)</f>
        <v>0</v>
      </c>
      <c r="AB48" s="28">
        <f>IF(AB13&gt;0, AB13-(AB$30*VALORI!$B$4)-(AB$31*VALORI!$B$4)-(AB$32*VALORI!$B$3)-(AB$33*VALORI!$B$5),0)</f>
        <v>0</v>
      </c>
      <c r="AC48" s="28">
        <f>IF(AC13&gt;0, AC13-(AC$30*VALORI!$B$4)-(AC$31*VALORI!$B$4)-(AC$32*VALORI!$B$3)-(AC$33*VALORI!$B$5),0)</f>
        <v>0</v>
      </c>
      <c r="AD48" s="28">
        <f>IF(AD13&gt;0, AD13-(AD$30*VALORI!$B$4)-(AD$31*VALORI!$B$4)-(AD$32*VALORI!$B$3)-(AD$33*VALORI!$B$5),0)</f>
        <v>0</v>
      </c>
      <c r="AE48" s="28">
        <f>IF(AE13&gt;0, AE13-(AE$30*VALORI!$B$4)-(AE$31*VALORI!$B$4)-(AE$32*VALORI!$B$3)-(AE$33*VALORI!$B$5),0)</f>
        <v>0</v>
      </c>
      <c r="AF48" s="28">
        <f>IF(AF13&gt;0, AF13-(AF$30*VALORI!$B$4)-(AF$31*VALORI!$B$4)-(AF$32*VALORI!$B$3)-(AF$33*VALORI!$B$5),0)</f>
        <v>0</v>
      </c>
      <c r="AG48" s="28">
        <f>IF(AG13&gt;0, AG13-(AG$30*VALORI!$B$4)-(AG$31*VALORI!$B$4)-(AG$32*VALORI!$B$3)-(AG$33*VALORI!$B$5),0)</f>
        <v>0</v>
      </c>
      <c r="AH48" s="28">
        <f>IF(AH13&gt;0, AH13-(AH$30*VALORI!$B$4)-(AH$31*VALORI!$B$4)-(AH$32*VALORI!$B$3)-(AH$33*VALORI!$B$5),0)</f>
        <v>0</v>
      </c>
      <c r="AI48" s="28">
        <f>IF(AI13&gt;0, AI13-(AI$30*VALORI!$B$4)-(AI$31*VALORI!$B$4)-(AI$32*VALORI!$B$3)-(AI$33*VALORI!$B$5),0)</f>
        <v>0</v>
      </c>
      <c r="AJ48" s="28">
        <f>IF(AJ13&gt;0, AJ13-(AJ$30*VALORI!$B$4)-(AJ$31*VALORI!$B$4)-(AJ$32*VALORI!$B$3)-(AJ$33*VALORI!$B$5),0)</f>
        <v>0</v>
      </c>
      <c r="AK48" s="28">
        <f>IF(AK13&gt;0, AK13-(AK$30*VALORI!$B$4)-(AK$31*VALORI!$B$4)-(AK$32*VALORI!$B$3)-(AK$33*VALORI!$B$5),0)</f>
        <v>0</v>
      </c>
      <c r="AL48" s="28">
        <f>IF(AL13&gt;0, AL13-(AL$30*VALORI!$B$4)-(AL$31*VALORI!$B$4)-(AL$32*VALORI!$B$3)-(AL$33*VALORI!$B$5),0)</f>
        <v>0</v>
      </c>
      <c r="AM48" s="28">
        <f>IF(AM13&gt;0, AM13-(AM$30*VALORI!$B$4)-(AM$31*VALORI!$B$4)-(AM$32*VALORI!$B$3)-(AM$33*VALORI!$B$5),0)</f>
        <v>0</v>
      </c>
      <c r="AN48" s="28">
        <f>IF(AN13&gt;0, AN13-(AN$30*VALORI!$B$4)-(AN$31*VALORI!$B$4)-(AN$32*VALORI!$B$3)-(AN$33*VALORI!$B$5),0)</f>
        <v>0</v>
      </c>
      <c r="AO48" s="28">
        <f>IF(AO13&gt;0, AO13-(AO$30*VALORI!$B$4)-(AO$31*VALORI!$B$4)-(AO$32*VALORI!$B$3)-(AO$33*VALORI!$B$5),0)</f>
        <v>0</v>
      </c>
    </row>
    <row r="49" spans="23:41" ht="15.75" x14ac:dyDescent="0.25">
      <c r="W49" s="28">
        <f>IF(W14&gt;0, W14-(W$30*VALORI!$B$4)-(W$31*VALORI!$B$4)-(W$32*VALORI!$B$3)-(W$33*VALORI!$B$5),0)</f>
        <v>0</v>
      </c>
      <c r="X49" s="28">
        <f>IF(X14&gt;0, X14-(X$30*VALORI!$B$4)-(X$31*VALORI!$B$4)-(X$32*VALORI!$B$3)-(X$33*VALORI!$B$5),0)</f>
        <v>0</v>
      </c>
      <c r="Y49" s="28">
        <f>IF(Y14&gt;0, Y14-(Y$30*VALORI!$B$4)-(Y$31*VALORI!$B$4)-(Y$32*VALORI!$B$3)-(Y$33*VALORI!$B$5),0)</f>
        <v>0</v>
      </c>
      <c r="Z49" s="28">
        <f>IF(Z14&gt;0, Z14-(Z$30*VALORI!$B$4)-(Z$31*VALORI!$B$4)-(Z$32*VALORI!$B$3)-(Z$33*VALORI!$B$5),0)</f>
        <v>0</v>
      </c>
      <c r="AA49" s="28">
        <f>IF(AA14&gt;0, AA14-(AA$30*VALORI!$B$4)-(AA$31*VALORI!$B$4)-(AA$32*VALORI!$B$3)-(AA$33*VALORI!$B$5),0)</f>
        <v>0</v>
      </c>
      <c r="AB49" s="28">
        <f>IF(AB14&gt;0, AB14-(AB$30*VALORI!$B$4)-(AB$31*VALORI!$B$4)-(AB$32*VALORI!$B$3)-(AB$33*VALORI!$B$5),0)</f>
        <v>0</v>
      </c>
      <c r="AC49" s="28">
        <f>IF(AC14&gt;0, AC14-(AC$30*VALORI!$B$4)-(AC$31*VALORI!$B$4)-(AC$32*VALORI!$B$3)-(AC$33*VALORI!$B$5),0)</f>
        <v>0</v>
      </c>
      <c r="AD49" s="28">
        <f>IF(AD14&gt;0, AD14-(AD$30*VALORI!$B$4)-(AD$31*VALORI!$B$4)-(AD$32*VALORI!$B$3)-(AD$33*VALORI!$B$5),0)</f>
        <v>0</v>
      </c>
      <c r="AE49" s="28">
        <f>IF(AE14&gt;0, AE14-(AE$30*VALORI!$B$4)-(AE$31*VALORI!$B$4)-(AE$32*VALORI!$B$3)-(AE$33*VALORI!$B$5),0)</f>
        <v>0</v>
      </c>
      <c r="AF49" s="28">
        <f>IF(AF14&gt;0, AF14-(AF$30*VALORI!$B$4)-(AF$31*VALORI!$B$4)-(AF$32*VALORI!$B$3)-(AF$33*VALORI!$B$5),0)</f>
        <v>0</v>
      </c>
      <c r="AG49" s="28">
        <f>IF(AG14&gt;0, AG14-(AG$30*VALORI!$B$4)-(AG$31*VALORI!$B$4)-(AG$32*VALORI!$B$3)-(AG$33*VALORI!$B$5),0)</f>
        <v>0</v>
      </c>
      <c r="AH49" s="28">
        <f>IF(AH14&gt;0, AH14-(AH$30*VALORI!$B$4)-(AH$31*VALORI!$B$4)-(AH$32*VALORI!$B$3)-(AH$33*VALORI!$B$5),0)</f>
        <v>0</v>
      </c>
      <c r="AI49" s="28">
        <f>IF(AI14&gt;0, AI14-(AI$30*VALORI!$B$4)-(AI$31*VALORI!$B$4)-(AI$32*VALORI!$B$3)-(AI$33*VALORI!$B$5),0)</f>
        <v>0</v>
      </c>
      <c r="AJ49" s="28">
        <f>IF(AJ14&gt;0, AJ14-(AJ$30*VALORI!$B$4)-(AJ$31*VALORI!$B$4)-(AJ$32*VALORI!$B$3)-(AJ$33*VALORI!$B$5),0)</f>
        <v>0</v>
      </c>
      <c r="AK49" s="28">
        <f>IF(AK14&gt;0, AK14-(AK$30*VALORI!$B$4)-(AK$31*VALORI!$B$4)-(AK$32*VALORI!$B$3)-(AK$33*VALORI!$B$5),0)</f>
        <v>0</v>
      </c>
      <c r="AL49" s="28">
        <f>IF(AL14&gt;0, AL14-(AL$30*VALORI!$B$4)-(AL$31*VALORI!$B$4)-(AL$32*VALORI!$B$3)-(AL$33*VALORI!$B$5),0)</f>
        <v>0</v>
      </c>
      <c r="AM49" s="28">
        <f>IF(AM14&gt;0, AM14-(AM$30*VALORI!$B$4)-(AM$31*VALORI!$B$4)-(AM$32*VALORI!$B$3)-(AM$33*VALORI!$B$5),0)</f>
        <v>0</v>
      </c>
      <c r="AN49" s="28">
        <f>IF(AN14&gt;0, AN14-(AN$30*VALORI!$B$4)-(AN$31*VALORI!$B$4)-(AN$32*VALORI!$B$3)-(AN$33*VALORI!$B$5),0)</f>
        <v>0</v>
      </c>
      <c r="AO49" s="28">
        <f>IF(AO14&gt;0, AO14-(AO$30*VALORI!$B$4)-(AO$31*VALORI!$B$4)-(AO$32*VALORI!$B$3)-(AO$33*VALORI!$B$5),0)</f>
        <v>0</v>
      </c>
    </row>
    <row r="50" spans="23:41" ht="15.75" x14ac:dyDescent="0.25">
      <c r="W50" s="28">
        <f>IF(W15&gt;0, W15-(W$30*VALORI!$B$4)-(W$31*VALORI!$B$4)-(W$32*VALORI!$B$3)-(W$33*VALORI!$B$5),0)</f>
        <v>0</v>
      </c>
      <c r="X50" s="28">
        <f>IF(X15&gt;0, X15-(X$30*VALORI!$B$4)-(X$31*VALORI!$B$4)-(X$32*VALORI!$B$3)-(X$33*VALORI!$B$5),0)</f>
        <v>0</v>
      </c>
      <c r="Y50" s="28">
        <f>IF(Y15&gt;0, Y15-(Y$30*VALORI!$B$4)-(Y$31*VALORI!$B$4)-(Y$32*VALORI!$B$3)-(Y$33*VALORI!$B$5),0)</f>
        <v>0</v>
      </c>
      <c r="Z50" s="28">
        <f>IF(Z15&gt;0, Z15-(Z$30*VALORI!$B$4)-(Z$31*VALORI!$B$4)-(Z$32*VALORI!$B$3)-(Z$33*VALORI!$B$5),0)</f>
        <v>0</v>
      </c>
      <c r="AA50" s="28">
        <f>IF(AA15&gt;0, AA15-(AA$30*VALORI!$B$4)-(AA$31*VALORI!$B$4)-(AA$32*VALORI!$B$3)-(AA$33*VALORI!$B$5),0)</f>
        <v>0</v>
      </c>
      <c r="AB50" s="28">
        <f>IF(AB15&gt;0, AB15-(AB$30*VALORI!$B$4)-(AB$31*VALORI!$B$4)-(AB$32*VALORI!$B$3)-(AB$33*VALORI!$B$5),0)</f>
        <v>0</v>
      </c>
      <c r="AC50" s="28">
        <f>IF(AC15&gt;0, AC15-(AC$30*VALORI!$B$4)-(AC$31*VALORI!$B$4)-(AC$32*VALORI!$B$3)-(AC$33*VALORI!$B$5),0)</f>
        <v>0</v>
      </c>
      <c r="AD50" s="28">
        <f>IF(AD15&gt;0, AD15-(AD$30*VALORI!$B$4)-(AD$31*VALORI!$B$4)-(AD$32*VALORI!$B$3)-(AD$33*VALORI!$B$5),0)</f>
        <v>0</v>
      </c>
      <c r="AE50" s="28">
        <f>IF(AE15&gt;0, AE15-(AE$30*VALORI!$B$4)-(AE$31*VALORI!$B$4)-(AE$32*VALORI!$B$3)-(AE$33*VALORI!$B$5),0)</f>
        <v>0</v>
      </c>
      <c r="AF50" s="28">
        <f>IF(AF15&gt;0, AF15-(AF$30*VALORI!$B$4)-(AF$31*VALORI!$B$4)-(AF$32*VALORI!$B$3)-(AF$33*VALORI!$B$5),0)</f>
        <v>0</v>
      </c>
      <c r="AG50" s="28">
        <f>IF(AG15&gt;0, AG15-(AG$30*VALORI!$B$4)-(AG$31*VALORI!$B$4)-(AG$32*VALORI!$B$3)-(AG$33*VALORI!$B$5),0)</f>
        <v>0</v>
      </c>
      <c r="AH50" s="28">
        <f>IF(AH15&gt;0, AH15-(AH$30*VALORI!$B$4)-(AH$31*VALORI!$B$4)-(AH$32*VALORI!$B$3)-(AH$33*VALORI!$B$5),0)</f>
        <v>0</v>
      </c>
      <c r="AI50" s="28">
        <f>IF(AI15&gt;0, AI15-(AI$30*VALORI!$B$4)-(AI$31*VALORI!$B$4)-(AI$32*VALORI!$B$3)-(AI$33*VALORI!$B$5),0)</f>
        <v>0</v>
      </c>
      <c r="AJ50" s="28">
        <f>IF(AJ15&gt;0, AJ15-(AJ$30*VALORI!$B$4)-(AJ$31*VALORI!$B$4)-(AJ$32*VALORI!$B$3)-(AJ$33*VALORI!$B$5),0)</f>
        <v>0</v>
      </c>
      <c r="AK50" s="28">
        <f>IF(AK15&gt;0, AK15-(AK$30*VALORI!$B$4)-(AK$31*VALORI!$B$4)-(AK$32*VALORI!$B$3)-(AK$33*VALORI!$B$5),0)</f>
        <v>0</v>
      </c>
      <c r="AL50" s="28">
        <f>IF(AL15&gt;0, AL15-(AL$30*VALORI!$B$4)-(AL$31*VALORI!$B$4)-(AL$32*VALORI!$B$3)-(AL$33*VALORI!$B$5),0)</f>
        <v>0</v>
      </c>
      <c r="AM50" s="28">
        <f>IF(AM15&gt;0, AM15-(AM$30*VALORI!$B$4)-(AM$31*VALORI!$B$4)-(AM$32*VALORI!$B$3)-(AM$33*VALORI!$B$5),0)</f>
        <v>0</v>
      </c>
      <c r="AN50" s="28">
        <f>IF(AN15&gt;0, AN15-(AN$30*VALORI!$B$4)-(AN$31*VALORI!$B$4)-(AN$32*VALORI!$B$3)-(AN$33*VALORI!$B$5),0)</f>
        <v>0</v>
      </c>
      <c r="AO50" s="28">
        <f>IF(AO15&gt;0, AO15-(AO$30*VALORI!$B$4)-(AO$31*VALORI!$B$4)-(AO$32*VALORI!$B$3)-(AO$33*VALORI!$B$5),0)</f>
        <v>0</v>
      </c>
    </row>
    <row r="51" spans="23:41" ht="15.75" x14ac:dyDescent="0.25">
      <c r="W51" s="28">
        <f>IF(W25&gt;0, W25-(W$30*VALORI!$B$4)-(W$31*VALORI!$B$4)-(W$32*VALORI!$B$3)-(W$33*VALORI!$B$5),0)</f>
        <v>0</v>
      </c>
      <c r="X51" s="28">
        <f>IF(X25&gt;0, X25-(X$30*VALORI!$B$4)-(X$31*VALORI!$B$4)-(X$32*VALORI!$B$3)-(X$33*VALORI!$B$5),0)</f>
        <v>0</v>
      </c>
      <c r="Y51" s="28">
        <f>IF(Y25&gt;0, Y25-(Y$30*VALORI!$B$4)-(Y$31*VALORI!$B$4)-(Y$32*VALORI!$B$3)-(Y$33*VALORI!$B$5),0)</f>
        <v>0</v>
      </c>
      <c r="Z51" s="28">
        <f>IF(Z25&gt;0, Z25-(Z$30*VALORI!$B$4)-(Z$31*VALORI!$B$4)-(Z$32*VALORI!$B$3)-(Z$33*VALORI!$B$5),0)</f>
        <v>0</v>
      </c>
      <c r="AA51" s="28">
        <f>IF(AA25&gt;0, AA25-(AA$30*VALORI!$B$4)-(AA$31*VALORI!$B$4)-(AA$32*VALORI!$B$3)-(AA$33*VALORI!$B$5),0)</f>
        <v>0</v>
      </c>
      <c r="AB51" s="28">
        <f>IF(AB25&gt;0, AB25-(AB$30*VALORI!$B$4)-(AB$31*VALORI!$B$4)-(AB$32*VALORI!$B$3)-(AB$33*VALORI!$B$5),0)</f>
        <v>0</v>
      </c>
      <c r="AC51" s="28">
        <f>IF(AC25&gt;0, AC25-(AC$30*VALORI!$B$4)-(AC$31*VALORI!$B$4)-(AC$32*VALORI!$B$3)-(AC$33*VALORI!$B$5),0)</f>
        <v>0</v>
      </c>
      <c r="AD51" s="28">
        <f>IF(AD25&gt;0, AD25-(AD$30*VALORI!$B$4)-(AD$31*VALORI!$B$4)-(AD$32*VALORI!$B$3)-(AD$33*VALORI!$B$5),0)</f>
        <v>0</v>
      </c>
      <c r="AE51" s="28">
        <f>IF(AE25&gt;0, AE25-(AE$30*VALORI!$B$4)-(AE$31*VALORI!$B$4)-(AE$32*VALORI!$B$3)-(AE$33*VALORI!$B$5),0)</f>
        <v>0</v>
      </c>
      <c r="AF51" s="28">
        <f>IF(AF25&gt;0, AF25-(AF$30*VALORI!$B$4)-(AF$31*VALORI!$B$4)-(AF$32*VALORI!$B$3)-(AF$33*VALORI!$B$5),0)</f>
        <v>0</v>
      </c>
      <c r="AG51" s="28">
        <f>IF(AG25&gt;0, AG25-(AG$30*VALORI!$B$4)-(AG$31*VALORI!$B$4)-(AG$32*VALORI!$B$3)-(AG$33*VALORI!$B$5),0)</f>
        <v>0</v>
      </c>
      <c r="AH51" s="28">
        <f>IF(AH25&gt;0, AH25-(AH$30*VALORI!$B$4)-(AH$31*VALORI!$B$4)-(AH$32*VALORI!$B$3)-(AH$33*VALORI!$B$5),0)</f>
        <v>0</v>
      </c>
      <c r="AI51" s="28">
        <f>IF(AI25&gt;0, AI25-(AI$30*VALORI!$B$4)-(AI$31*VALORI!$B$4)-(AI$32*VALORI!$B$3)-(AI$33*VALORI!$B$5),0)</f>
        <v>0</v>
      </c>
      <c r="AJ51" s="28">
        <f>IF(AJ25&gt;0, AJ25-(AJ$30*VALORI!$B$4)-(AJ$31*VALORI!$B$4)-(AJ$32*VALORI!$B$3)-(AJ$33*VALORI!$B$5),0)</f>
        <v>0</v>
      </c>
      <c r="AK51" s="28">
        <f>IF(AK25&gt;0, AK25-(AK$30*VALORI!$B$4)-(AK$31*VALORI!$B$4)-(AK$32*VALORI!$B$3)-(AK$33*VALORI!$B$5),0)</f>
        <v>0</v>
      </c>
      <c r="AL51" s="28">
        <f>IF(AL25&gt;0, AL25-(AL$30*VALORI!$B$4)-(AL$31*VALORI!$B$4)-(AL$32*VALORI!$B$3)-(AL$33*VALORI!$B$5),0)</f>
        <v>0</v>
      </c>
      <c r="AM51" s="28">
        <f>IF(AM25&gt;0, AM25-(AM$30*VALORI!$B$4)-(AM$31*VALORI!$B$4)-(AM$32*VALORI!$B$3)-(AM$33*VALORI!$B$5),0)</f>
        <v>0</v>
      </c>
      <c r="AN51" s="28">
        <f>IF(AN25&gt;0, AN25-(AN$30*VALORI!$B$4)-(AN$31*VALORI!$B$4)-(AN$32*VALORI!$B$3)-(AN$33*VALORI!$B$5),0)</f>
        <v>0</v>
      </c>
      <c r="AO51" s="28">
        <f>IF(AO25&gt;0, AO25-(AO$30*VALORI!$B$4)-(AO$31*VALORI!$B$4)-(AO$32*VALORI!$B$3)-(AO$33*VALORI!$B$5),0)</f>
        <v>0</v>
      </c>
    </row>
    <row r="52" spans="23:41" ht="15.75" x14ac:dyDescent="0.25">
      <c r="W52" s="28">
        <f>IF(W26&gt;0, W26-(W$30*VALORI!$B$4)-(W$31*VALORI!$B$4)-(W$32*VALORI!$B$3)-(W$33*VALORI!$B$5),0)</f>
        <v>0</v>
      </c>
      <c r="X52" s="28">
        <f>IF(X26&gt;0, X26-(X$30*VALORI!$B$4)-(X$31*VALORI!$B$4)-(X$32*VALORI!$B$3)-(X$33*VALORI!$B$5),0)</f>
        <v>0</v>
      </c>
      <c r="Y52" s="28">
        <f>IF(Y26&gt;0, Y26-(Y$30*VALORI!$B$4)-(Y$31*VALORI!$B$4)-(Y$32*VALORI!$B$3)-(Y$33*VALORI!$B$5),0)</f>
        <v>0</v>
      </c>
      <c r="Z52" s="28">
        <f>IF(Z26&gt;0, Z26-(Z$30*VALORI!$B$4)-(Z$31*VALORI!$B$4)-(Z$32*VALORI!$B$3)-(Z$33*VALORI!$B$5),0)</f>
        <v>0</v>
      </c>
      <c r="AA52" s="28">
        <f>IF(AA26&gt;0, AA26-(AA$30*VALORI!$B$4)-(AA$31*VALORI!$B$4)-(AA$32*VALORI!$B$3)-(AA$33*VALORI!$B$5),0)</f>
        <v>0</v>
      </c>
      <c r="AB52" s="28">
        <f>IF(AB26&gt;0, AB26-(AB$30*VALORI!$B$4)-(AB$31*VALORI!$B$4)-(AB$32*VALORI!$B$3)-(AB$33*VALORI!$B$5),0)</f>
        <v>0</v>
      </c>
      <c r="AC52" s="28">
        <f>IF(AC26&gt;0, AC26-(AC$30*VALORI!$B$4)-(AC$31*VALORI!$B$4)-(AC$32*VALORI!$B$3)-(AC$33*VALORI!$B$5),0)</f>
        <v>0</v>
      </c>
      <c r="AD52" s="28">
        <f>IF(AD26&gt;0, AD26-(AD$30*VALORI!$B$4)-(AD$31*VALORI!$B$4)-(AD$32*VALORI!$B$3)-(AD$33*VALORI!$B$5),0)</f>
        <v>0</v>
      </c>
      <c r="AE52" s="28">
        <f>IF(AE26&gt;0, AE26-(AE$30*VALORI!$B$4)-(AE$31*VALORI!$B$4)-(AE$32*VALORI!$B$3)-(AE$33*VALORI!$B$5),0)</f>
        <v>0</v>
      </c>
      <c r="AF52" s="28">
        <f>IF(AF26&gt;0, AF26-(AF$30*VALORI!$B$4)-(AF$31*VALORI!$B$4)-(AF$32*VALORI!$B$3)-(AF$33*VALORI!$B$5),0)</f>
        <v>0</v>
      </c>
      <c r="AG52" s="28">
        <f>IF(AG26&gt;0, AG26-(AG$30*VALORI!$B$4)-(AG$31*VALORI!$B$4)-(AG$32*VALORI!$B$3)-(AG$33*VALORI!$B$5),0)</f>
        <v>0</v>
      </c>
      <c r="AH52" s="28">
        <f>IF(AH26&gt;0, AH26-(AH$30*VALORI!$B$4)-(AH$31*VALORI!$B$4)-(AH$32*VALORI!$B$3)-(AH$33*VALORI!$B$5),0)</f>
        <v>0</v>
      </c>
      <c r="AI52" s="28">
        <f>IF(AI26&gt;0, AI26-(AI$30*VALORI!$B$4)-(AI$31*VALORI!$B$4)-(AI$32*VALORI!$B$3)-(AI$33*VALORI!$B$5),0)</f>
        <v>0</v>
      </c>
      <c r="AJ52" s="28">
        <f>IF(AJ26&gt;0, AJ26-(AJ$30*VALORI!$B$4)-(AJ$31*VALORI!$B$4)-(AJ$32*VALORI!$B$3)-(AJ$33*VALORI!$B$5),0)</f>
        <v>0</v>
      </c>
      <c r="AK52" s="28">
        <f>IF(AK26&gt;0, AK26-(AK$30*VALORI!$B$4)-(AK$31*VALORI!$B$4)-(AK$32*VALORI!$B$3)-(AK$33*VALORI!$B$5),0)</f>
        <v>0</v>
      </c>
      <c r="AL52" s="28">
        <f>IF(AL26&gt;0, AL26-(AL$30*VALORI!$B$4)-(AL$31*VALORI!$B$4)-(AL$32*VALORI!$B$3)-(AL$33*VALORI!$B$5),0)</f>
        <v>0</v>
      </c>
      <c r="AM52" s="28">
        <f>IF(AM26&gt;0, AM26-(AM$30*VALORI!$B$4)-(AM$31*VALORI!$B$4)-(AM$32*VALORI!$B$3)-(AM$33*VALORI!$B$5),0)</f>
        <v>0</v>
      </c>
      <c r="AN52" s="28">
        <f>IF(AN26&gt;0, AN26-(AN$30*VALORI!$B$4)-(AN$31*VALORI!$B$4)-(AN$32*VALORI!$B$3)-(AN$33*VALORI!$B$5),0)</f>
        <v>0</v>
      </c>
      <c r="AO52" s="28">
        <f>IF(AO26&gt;0, AO26-(AO$30*VALORI!$B$4)-(AO$31*VALORI!$B$4)-(AO$32*VALORI!$B$3)-(AO$33*VALORI!$B$5),0)</f>
        <v>0</v>
      </c>
    </row>
    <row r="53" spans="23:41" ht="15.75" x14ac:dyDescent="0.25">
      <c r="W53" s="28">
        <f>IF(W27&gt;0, W27-(W$30*VALORI!$B$4)-(W$31*VALORI!$B$4)-(W$32*VALORI!$B$3)-(W$33*VALORI!$B$5),0)</f>
        <v>0</v>
      </c>
      <c r="X53" s="28">
        <f>IF(X27&gt;0, X27-(X$30*VALORI!$B$4)-(X$31*VALORI!$B$4)-(X$32*VALORI!$B$3)-(X$33*VALORI!$B$5),0)</f>
        <v>0</v>
      </c>
      <c r="Y53" s="28">
        <f>IF(Y27&gt;0, Y27-(Y$30*VALORI!$B$4)-(Y$31*VALORI!$B$4)-(Y$32*VALORI!$B$3)-(Y$33*VALORI!$B$5),0)</f>
        <v>0</v>
      </c>
      <c r="Z53" s="28">
        <f>IF(Z27&gt;0, Z27-(Z$30*VALORI!$B$4)-(Z$31*VALORI!$B$4)-(Z$32*VALORI!$B$3)-(Z$33*VALORI!$B$5),0)</f>
        <v>0</v>
      </c>
      <c r="AA53" s="28">
        <f>IF(AA27&gt;0, AA27-(AA$30*VALORI!$B$4)-(AA$31*VALORI!$B$4)-(AA$32*VALORI!$B$3)-(AA$33*VALORI!$B$5),0)</f>
        <v>0</v>
      </c>
      <c r="AB53" s="28">
        <f>IF(AB27&gt;0, AB27-(AB$30*VALORI!$B$4)-(AB$31*VALORI!$B$4)-(AB$32*VALORI!$B$3)-(AB$33*VALORI!$B$5),0)</f>
        <v>0</v>
      </c>
      <c r="AC53" s="28">
        <f>IF(AC27&gt;0, AC27-(AC$30*VALORI!$B$4)-(AC$31*VALORI!$B$4)-(AC$32*VALORI!$B$3)-(AC$33*VALORI!$B$5),0)</f>
        <v>0</v>
      </c>
      <c r="AD53" s="28">
        <f>IF(AD27&gt;0, AD27-(AD$30*VALORI!$B$4)-(AD$31*VALORI!$B$4)-(AD$32*VALORI!$B$3)-(AD$33*VALORI!$B$5),0)</f>
        <v>0</v>
      </c>
      <c r="AE53" s="28">
        <f>IF(AE27&gt;0, AE27-(AE$30*VALORI!$B$4)-(AE$31*VALORI!$B$4)-(AE$32*VALORI!$B$3)-(AE$33*VALORI!$B$5),0)</f>
        <v>0</v>
      </c>
      <c r="AF53" s="28">
        <f>IF(AF27&gt;0, AF27-(AF$30*VALORI!$B$4)-(AF$31*VALORI!$B$4)-(AF$32*VALORI!$B$3)-(AF$33*VALORI!$B$5),0)</f>
        <v>0</v>
      </c>
      <c r="AG53" s="28">
        <f>IF(AG27&gt;0, AG27-(AG$30*VALORI!$B$4)-(AG$31*VALORI!$B$4)-(AG$32*VALORI!$B$3)-(AG$33*VALORI!$B$5),0)</f>
        <v>0</v>
      </c>
      <c r="AH53" s="28">
        <f>IF(AH27&gt;0, AH27-(AH$30*VALORI!$B$4)-(AH$31*VALORI!$B$4)-(AH$32*VALORI!$B$3)-(AH$33*VALORI!$B$5),0)</f>
        <v>0</v>
      </c>
      <c r="AI53" s="28">
        <f>IF(AI27&gt;0, AI27-(AI$30*VALORI!$B$4)-(AI$31*VALORI!$B$4)-(AI$32*VALORI!$B$3)-(AI$33*VALORI!$B$5),0)</f>
        <v>0</v>
      </c>
      <c r="AJ53" s="28">
        <f>IF(AJ27&gt;0, AJ27-(AJ$30*VALORI!$B$4)-(AJ$31*VALORI!$B$4)-(AJ$32*VALORI!$B$3)-(AJ$33*VALORI!$B$5),0)</f>
        <v>0</v>
      </c>
      <c r="AK53" s="28">
        <f>IF(AK27&gt;0, AK27-(AK$30*VALORI!$B$4)-(AK$31*VALORI!$B$4)-(AK$32*VALORI!$B$3)-(AK$33*VALORI!$B$5),0)</f>
        <v>0</v>
      </c>
      <c r="AL53" s="28">
        <f>IF(AL27&gt;0, AL27-(AL$30*VALORI!$B$4)-(AL$31*VALORI!$B$4)-(AL$32*VALORI!$B$3)-(AL$33*VALORI!$B$5),0)</f>
        <v>0</v>
      </c>
      <c r="AM53" s="28">
        <f>IF(AM27&gt;0, AM27-(AM$30*VALORI!$B$4)-(AM$31*VALORI!$B$4)-(AM$32*VALORI!$B$3)-(AM$33*VALORI!$B$5),0)</f>
        <v>0</v>
      </c>
      <c r="AN53" s="28">
        <f>IF(AN27&gt;0, AN27-(AN$30*VALORI!$B$4)-(AN$31*VALORI!$B$4)-(AN$32*VALORI!$B$3)-(AN$33*VALORI!$B$5),0)</f>
        <v>0</v>
      </c>
      <c r="AO53" s="28">
        <f>IF(AO27&gt;0, AO27-(AO$30*VALORI!$B$4)-(AO$31*VALORI!$B$4)-(AO$32*VALORI!$B$3)-(AO$33*VALORI!$B$5),0)</f>
        <v>0</v>
      </c>
    </row>
    <row r="54" spans="23:41" ht="15.75" x14ac:dyDescent="0.25">
      <c r="W54" s="28">
        <f>IF(W28&gt;0, W28-(W$30*VALORI!$B$4)-(W$31*VALORI!$B$4)-(W$32*VALORI!$B$3)-(W$33*VALORI!$B$5),0)</f>
        <v>0</v>
      </c>
      <c r="X54" s="28">
        <f>IF(X28&gt;0, X28-(X$30*VALORI!$B$4)-(X$31*VALORI!$B$4)-(X$32*VALORI!$B$3)-(X$33*VALORI!$B$5),0)</f>
        <v>0</v>
      </c>
      <c r="Y54" s="28">
        <f>IF(Y28&gt;0, Y28-(Y$30*VALORI!$B$4)-(Y$31*VALORI!$B$4)-(Y$32*VALORI!$B$3)-(Y$33*VALORI!$B$5),0)</f>
        <v>0</v>
      </c>
      <c r="Z54" s="28">
        <f>IF(Z28&gt;0, Z28-(Z$30*VALORI!$B$4)-(Z$31*VALORI!$B$4)-(Z$32*VALORI!$B$3)-(Z$33*VALORI!$B$5),0)</f>
        <v>0</v>
      </c>
      <c r="AA54" s="28">
        <f>IF(AA28&gt;0, AA28-(AA$30*VALORI!$B$4)-(AA$31*VALORI!$B$4)-(AA$32*VALORI!$B$3)-(AA$33*VALORI!$B$5),0)</f>
        <v>0</v>
      </c>
      <c r="AB54" s="28">
        <f>IF(AB28&gt;0, AB28-(AB$30*VALORI!$B$4)-(AB$31*VALORI!$B$4)-(AB$32*VALORI!$B$3)-(AB$33*VALORI!$B$5),0)</f>
        <v>0</v>
      </c>
      <c r="AC54" s="28">
        <f>IF(AC28&gt;0, AC28-(AC$30*VALORI!$B$4)-(AC$31*VALORI!$B$4)-(AC$32*VALORI!$B$3)-(AC$33*VALORI!$B$5),0)</f>
        <v>0</v>
      </c>
      <c r="AD54" s="28">
        <f>IF(AD28&gt;0, AD28-(AD$30*VALORI!$B$4)-(AD$31*VALORI!$B$4)-(AD$32*VALORI!$B$3)-(AD$33*VALORI!$B$5),0)</f>
        <v>0</v>
      </c>
      <c r="AE54" s="28">
        <f>IF(AE28&gt;0, AE28-(AE$30*VALORI!$B$4)-(AE$31*VALORI!$B$4)-(AE$32*VALORI!$B$3)-(AE$33*VALORI!$B$5),0)</f>
        <v>0</v>
      </c>
      <c r="AF54" s="28">
        <f>IF(AF28&gt;0, AF28-(AF$30*VALORI!$B$4)-(AF$31*VALORI!$B$4)-(AF$32*VALORI!$B$3)-(AF$33*VALORI!$B$5),0)</f>
        <v>0</v>
      </c>
      <c r="AG54" s="28">
        <f>IF(AG28&gt;0, AG28-(AG$30*VALORI!$B$4)-(AG$31*VALORI!$B$4)-(AG$32*VALORI!$B$3)-(AG$33*VALORI!$B$5),0)</f>
        <v>0</v>
      </c>
      <c r="AH54" s="28">
        <f>IF(AH28&gt;0, AH28-(AH$30*VALORI!$B$4)-(AH$31*VALORI!$B$4)-(AH$32*VALORI!$B$3)-(AH$33*VALORI!$B$5),0)</f>
        <v>0</v>
      </c>
      <c r="AI54" s="28">
        <f>IF(AI28&gt;0, AI28-(AI$30*VALORI!$B$4)-(AI$31*VALORI!$B$4)-(AI$32*VALORI!$B$3)-(AI$33*VALORI!$B$5),0)</f>
        <v>0</v>
      </c>
      <c r="AJ54" s="28">
        <f>IF(AJ28&gt;0, AJ28-(AJ$30*VALORI!$B$4)-(AJ$31*VALORI!$B$4)-(AJ$32*VALORI!$B$3)-(AJ$33*VALORI!$B$5),0)</f>
        <v>0</v>
      </c>
      <c r="AK54" s="28">
        <f>IF(AK28&gt;0, AK28-(AK$30*VALORI!$B$4)-(AK$31*VALORI!$B$4)-(AK$32*VALORI!$B$3)-(AK$33*VALORI!$B$5),0)</f>
        <v>0</v>
      </c>
      <c r="AL54" s="28">
        <f>IF(AL28&gt;0, AL28-(AL$30*VALORI!$B$4)-(AL$31*VALORI!$B$4)-(AL$32*VALORI!$B$3)-(AL$33*VALORI!$B$5),0)</f>
        <v>0</v>
      </c>
      <c r="AM54" s="28">
        <f>IF(AM28&gt;0, AM28-(AM$30*VALORI!$B$4)-(AM$31*VALORI!$B$4)-(AM$32*VALORI!$B$3)-(AM$33*VALORI!$B$5),0)</f>
        <v>0</v>
      </c>
      <c r="AN54" s="28">
        <f>IF(AN28&gt;0, AN28-(AN$30*VALORI!$B$4)-(AN$31*VALORI!$B$4)-(AN$32*VALORI!$B$3)-(AN$33*VALORI!$B$5),0)</f>
        <v>0</v>
      </c>
      <c r="AO54" s="28">
        <f>IF(AO28&gt;0, AO28-(AO$30*VALORI!$B$4)-(AO$31*VALORI!$B$4)-(AO$32*VALORI!$B$3)-(AO$33*VALORI!$B$5),0)</f>
        <v>0</v>
      </c>
    </row>
    <row r="56" spans="23:41" ht="68.650000000000006" customHeight="1" x14ac:dyDescent="0.25"/>
    <row r="57" spans="23:41" ht="72.75" x14ac:dyDescent="0.25">
      <c r="W57" s="94" t="s">
        <v>340</v>
      </c>
      <c r="X57" s="94" t="s">
        <v>340</v>
      </c>
      <c r="Y57" s="94" t="s">
        <v>340</v>
      </c>
      <c r="Z57" s="94" t="s">
        <v>340</v>
      </c>
      <c r="AA57" s="94" t="s">
        <v>340</v>
      </c>
      <c r="AB57" s="94" t="s">
        <v>340</v>
      </c>
      <c r="AC57" s="94" t="s">
        <v>340</v>
      </c>
      <c r="AD57" s="94" t="s">
        <v>340</v>
      </c>
      <c r="AE57" s="94" t="s">
        <v>340</v>
      </c>
      <c r="AF57" s="94" t="s">
        <v>340</v>
      </c>
      <c r="AG57" s="94" t="s">
        <v>340</v>
      </c>
      <c r="AH57" s="94" t="s">
        <v>340</v>
      </c>
      <c r="AI57" s="94" t="s">
        <v>340</v>
      </c>
      <c r="AJ57" s="94" t="s">
        <v>340</v>
      </c>
      <c r="AK57" s="94" t="s">
        <v>340</v>
      </c>
      <c r="AL57" s="94" t="s">
        <v>340</v>
      </c>
      <c r="AM57" s="94" t="s">
        <v>340</v>
      </c>
      <c r="AN57" s="94" t="s">
        <v>340</v>
      </c>
      <c r="AO57" s="94" t="s">
        <v>340</v>
      </c>
    </row>
    <row r="58" spans="23:41" ht="15.75" x14ac:dyDescent="0.25">
      <c r="W58" s="28">
        <f>IF(W3&gt;0, (W$30*VALORI!$B$4)+(W$31*VALORI!$B$4)+(W$32*VALORI!$B$3)+(W$33*VALORI!$B$5),0)</f>
        <v>1240</v>
      </c>
      <c r="X58" s="28">
        <f>IF(X3&gt;0, (X$30*VALORI!$B$4)+(X$31*VALORI!$B$4)+(X$32*VALORI!$B$3)+(X$33*VALORI!$B$5),0)</f>
        <v>3720</v>
      </c>
      <c r="Y58" s="28">
        <f>IF(Y3&gt;0, (Y$30*VALORI!$B$4)+(Y$31*VALORI!$B$4)+(Y$32*VALORI!$B$3)+(Y$33*VALORI!$B$5),0)</f>
        <v>992</v>
      </c>
      <c r="Z58" s="28">
        <f>IF(Z3&gt;0, (Z$30*VALORI!$B$4)+(Z$31*VALORI!$B$4)+(Z$32*VALORI!$B$3)+(Z$33*VALORI!$B$5),0)</f>
        <v>992</v>
      </c>
      <c r="AA58" s="28">
        <f>IF(AA3&gt;0, (AA$30*VALORI!$B$4)+(AA$31*VALORI!$B$4)+(AA$32*VALORI!$B$3)+(AA$33*VALORI!$B$5),0)</f>
        <v>2432</v>
      </c>
      <c r="AB58" s="28">
        <f>IF(AB3&gt;0, (AB$30*VALORI!$B$4)+(AB$31*VALORI!$B$4)+(AB$32*VALORI!$B$3)+(AB$33*VALORI!$B$5),0)</f>
        <v>0</v>
      </c>
      <c r="AC58" s="28">
        <f>IF(AC3&gt;0, (AC$30*VALORI!$B$4)+(AC$31*VALORI!$B$4)+(AC$32*VALORI!$B$3)+(AC$33*VALORI!$B$5),0)</f>
        <v>642</v>
      </c>
      <c r="AD58" s="28">
        <f>IF(AD3&gt;0, (AD$30*VALORI!$B$4)+(AD$31*VALORI!$B$4)+(AD$32*VALORI!$B$3)+(AD$33*VALORI!$B$5),0)</f>
        <v>0</v>
      </c>
      <c r="AE58" s="28">
        <f>IF(AE3&gt;0, (AE$30*VALORI!$B$4)+(AE$31*VALORI!$B$4)+(AE$32*VALORI!$B$3)+(AE$33*VALORI!$B$5),0)</f>
        <v>0</v>
      </c>
      <c r="AF58" s="28">
        <f>IF(AF3&gt;0, (AF$30*VALORI!$B$4)+(AF$31*VALORI!$B$4)+(AF$32*VALORI!$B$3)+(AF$33*VALORI!$B$5),0)</f>
        <v>0</v>
      </c>
      <c r="AG58" s="28">
        <f>IF(AG3&gt;0, (AG$30*VALORI!$B$4)+(AG$31*VALORI!$B$4)+(AG$32*VALORI!$B$3)+(AG$33*VALORI!$B$5),0)</f>
        <v>0</v>
      </c>
      <c r="AH58" s="28">
        <f>IF(AH3&gt;0, (AH$30*VALORI!$B$4)+(AH$31*VALORI!$B$4)+(AH$32*VALORI!$B$3)+(AH$33*VALORI!$B$5),0)</f>
        <v>0</v>
      </c>
      <c r="AI58" s="28">
        <f>IF(AI3&gt;0, (AI$30*VALORI!$B$4)+(AI$31*VALORI!$B$4)+(AI$32*VALORI!$B$3)+(AI$33*VALORI!$B$5),0)</f>
        <v>0</v>
      </c>
      <c r="AJ58" s="28">
        <f>IF(AJ3&gt;0, (AJ$30*VALORI!$B$4)+(AJ$31*VALORI!$B$4)+(AJ$32*VALORI!$B$3)+(AJ$33*VALORI!$B$5),0)</f>
        <v>0</v>
      </c>
      <c r="AK58" s="28">
        <f>IF(AK3&gt;0, (AK$30*VALORI!$B$4)+(AK$31*VALORI!$B$4)+(AK$32*VALORI!$B$3)+(AK$33*VALORI!$B$5),0)</f>
        <v>0</v>
      </c>
      <c r="AL58" s="28">
        <f>IF(AL3&gt;0, (AL$30*VALORI!$B$4)+(AL$31*VALORI!$B$4)+(AL$32*VALORI!$B$3)+(AL$33*VALORI!$B$5),0)</f>
        <v>0</v>
      </c>
      <c r="AM58" s="28">
        <f>IF(AM3&gt;0, (AM$30*VALORI!$B$4)+(AM$31*VALORI!$B$4)+(AM$32*VALORI!$B$3)+(AM$33*VALORI!$B$5),0)</f>
        <v>0</v>
      </c>
      <c r="AN58" s="28">
        <f>IF(AN3&gt;0, (AN$30*VALORI!$B$4)+(AN$31*VALORI!$B$4)+(AN$32*VALORI!$B$3)+(AN$33*VALORI!$B$5),0)</f>
        <v>0</v>
      </c>
      <c r="AO58" s="28">
        <f>IF(AO3&gt;0, (AO$30*VALORI!$B$4)+(AO$31*VALORI!$B$4)+(AO$32*VALORI!$B$3)+(AO$33*VALORI!$B$5),0)</f>
        <v>0</v>
      </c>
    </row>
    <row r="59" spans="23:41" ht="15.75" x14ac:dyDescent="0.25">
      <c r="W59" s="28">
        <f>IF(W4&gt;0, (W$30*VALORI!$B$4)+(W$31*VALORI!$B$4)+(W$32*VALORI!$B$3)+(W$33*VALORI!$B$5),0)</f>
        <v>1240</v>
      </c>
      <c r="X59" s="28">
        <f>IF(X4&gt;0, (X$30*VALORI!$B$4)+(X$31*VALORI!$B$4)+(X$32*VALORI!$B$3)+(X$33*VALORI!$B$5),0)</f>
        <v>3720</v>
      </c>
      <c r="Y59" s="28">
        <f>IF(Y4&gt;0, (Y$30*VALORI!$B$4)+(Y$31*VALORI!$B$4)+(Y$32*VALORI!$B$3)+(Y$33*VALORI!$B$5),0)</f>
        <v>992</v>
      </c>
      <c r="Z59" s="28">
        <f>IF(Z4&gt;0, (Z$30*VALORI!$B$4)+(Z$31*VALORI!$B$4)+(Z$32*VALORI!$B$3)+(Z$33*VALORI!$B$5),0)</f>
        <v>992</v>
      </c>
      <c r="AA59" s="28">
        <f>IF(AA4&gt;0, (AA$30*VALORI!$B$4)+(AA$31*VALORI!$B$4)+(AA$32*VALORI!$B$3)+(AA$33*VALORI!$B$5),0)</f>
        <v>2432</v>
      </c>
      <c r="AB59" s="28">
        <f>IF(AB4&gt;0, (AB$30*VALORI!$B$4)+(AB$31*VALORI!$B$4)+(AB$32*VALORI!$B$3)+(AB$33*VALORI!$B$5),0)</f>
        <v>0</v>
      </c>
      <c r="AC59" s="28">
        <f>IF(AC4&gt;0, (AC$30*VALORI!$B$4)+(AC$31*VALORI!$B$4)+(AC$32*VALORI!$B$3)+(AC$33*VALORI!$B$5),0)</f>
        <v>642</v>
      </c>
      <c r="AD59" s="28">
        <f>IF(AD4&gt;0, (AD$30*VALORI!$B$4)+(AD$31*VALORI!$B$4)+(AD$32*VALORI!$B$3)+(AD$33*VALORI!$B$5),0)</f>
        <v>0</v>
      </c>
      <c r="AE59" s="28">
        <f>IF(AE4&gt;0, (AE$30*VALORI!$B$4)+(AE$31*VALORI!$B$4)+(AE$32*VALORI!$B$3)+(AE$33*VALORI!$B$5),0)</f>
        <v>0</v>
      </c>
      <c r="AF59" s="28">
        <f>IF(AF4&gt;0, (AF$30*VALORI!$B$4)+(AF$31*VALORI!$B$4)+(AF$32*VALORI!$B$3)+(AF$33*VALORI!$B$5),0)</f>
        <v>0</v>
      </c>
      <c r="AG59" s="28">
        <f>IF(AG4&gt;0, (AG$30*VALORI!$B$4)+(AG$31*VALORI!$B$4)+(AG$32*VALORI!$B$3)+(AG$33*VALORI!$B$5),0)</f>
        <v>0</v>
      </c>
      <c r="AH59" s="28">
        <f>IF(AH4&gt;0, (AH$30*VALORI!$B$4)+(AH$31*VALORI!$B$4)+(AH$32*VALORI!$B$3)+(AH$33*VALORI!$B$5),0)</f>
        <v>0</v>
      </c>
      <c r="AI59" s="28">
        <f>IF(AI4&gt;0, (AI$30*VALORI!$B$4)+(AI$31*VALORI!$B$4)+(AI$32*VALORI!$B$3)+(AI$33*VALORI!$B$5),0)</f>
        <v>0</v>
      </c>
      <c r="AJ59" s="28">
        <f>IF(AJ4&gt;0, (AJ$30*VALORI!$B$4)+(AJ$31*VALORI!$B$4)+(AJ$32*VALORI!$B$3)+(AJ$33*VALORI!$B$5),0)</f>
        <v>0</v>
      </c>
      <c r="AK59" s="28">
        <f>IF(AK4&gt;0, (AK$30*VALORI!$B$4)+(AK$31*VALORI!$B$4)+(AK$32*VALORI!$B$3)+(AK$33*VALORI!$B$5),0)</f>
        <v>0</v>
      </c>
      <c r="AL59" s="28">
        <f>IF(AL4&gt;0, (AL$30*VALORI!$B$4)+(AL$31*VALORI!$B$4)+(AL$32*VALORI!$B$3)+(AL$33*VALORI!$B$5),0)</f>
        <v>0</v>
      </c>
      <c r="AM59" s="28">
        <f>IF(AM4&gt;0, (AM$30*VALORI!$B$4)+(AM$31*VALORI!$B$4)+(AM$32*VALORI!$B$3)+(AM$33*VALORI!$B$5),0)</f>
        <v>0</v>
      </c>
      <c r="AN59" s="28">
        <f>IF(AN4&gt;0, (AN$30*VALORI!$B$4)+(AN$31*VALORI!$B$4)+(AN$32*VALORI!$B$3)+(AN$33*VALORI!$B$5),0)</f>
        <v>0</v>
      </c>
      <c r="AO59" s="28">
        <f>IF(AO4&gt;0, (AO$30*VALORI!$B$4)+(AO$31*VALORI!$B$4)+(AO$32*VALORI!$B$3)+(AO$33*VALORI!$B$5),0)</f>
        <v>0</v>
      </c>
    </row>
    <row r="60" spans="23:41" ht="15.75" x14ac:dyDescent="0.25">
      <c r="W60" s="28">
        <f>IF(W5&gt;0, (W$30*VALORI!$B$4)+(W$31*VALORI!$B$4)+(W$32*VALORI!$B$3)+(W$33*VALORI!$B$5),0)</f>
        <v>1240</v>
      </c>
      <c r="X60" s="28">
        <f>IF(X5&gt;0, (X$30*VALORI!$B$4)+(X$31*VALORI!$B$4)+(X$32*VALORI!$B$3)+(X$33*VALORI!$B$5),0)</f>
        <v>3720</v>
      </c>
      <c r="Y60" s="28">
        <f>IF(Y5&gt;0, (Y$30*VALORI!$B$4)+(Y$31*VALORI!$B$4)+(Y$32*VALORI!$B$3)+(Y$33*VALORI!$B$5),0)</f>
        <v>992</v>
      </c>
      <c r="Z60" s="28">
        <f>IF(Z5&gt;0, (Z$30*VALORI!$B$4)+(Z$31*VALORI!$B$4)+(Z$32*VALORI!$B$3)+(Z$33*VALORI!$B$5),0)</f>
        <v>992</v>
      </c>
      <c r="AA60" s="28">
        <f>IF(AA5&gt;0, (AA$30*VALORI!$B$4)+(AA$31*VALORI!$B$4)+(AA$32*VALORI!$B$3)+(AA$33*VALORI!$B$5),0)</f>
        <v>2432</v>
      </c>
      <c r="AB60" s="28">
        <f>IF(AB5&gt;0, (AB$30*VALORI!$B$4)+(AB$31*VALORI!$B$4)+(AB$32*VALORI!$B$3)+(AB$33*VALORI!$B$5),0)</f>
        <v>0</v>
      </c>
      <c r="AC60" s="28">
        <f>IF(AC5&gt;0, (AC$30*VALORI!$B$4)+(AC$31*VALORI!$B$4)+(AC$32*VALORI!$B$3)+(AC$33*VALORI!$B$5),0)</f>
        <v>642</v>
      </c>
      <c r="AD60" s="28">
        <f>IF(AD5&gt;0, (AD$30*VALORI!$B$4)+(AD$31*VALORI!$B$4)+(AD$32*VALORI!$B$3)+(AD$33*VALORI!$B$5),0)</f>
        <v>0</v>
      </c>
      <c r="AE60" s="28">
        <f>IF(AE5&gt;0, (AE$30*VALORI!$B$4)+(AE$31*VALORI!$B$4)+(AE$32*VALORI!$B$3)+(AE$33*VALORI!$B$5),0)</f>
        <v>0</v>
      </c>
      <c r="AF60" s="28">
        <f>IF(AF5&gt;0, (AF$30*VALORI!$B$4)+(AF$31*VALORI!$B$4)+(AF$32*VALORI!$B$3)+(AF$33*VALORI!$B$5),0)</f>
        <v>0</v>
      </c>
      <c r="AG60" s="28">
        <f>IF(AG5&gt;0, (AG$30*VALORI!$B$4)+(AG$31*VALORI!$B$4)+(AG$32*VALORI!$B$3)+(AG$33*VALORI!$B$5),0)</f>
        <v>0</v>
      </c>
      <c r="AH60" s="28">
        <f>IF(AH5&gt;0, (AH$30*VALORI!$B$4)+(AH$31*VALORI!$B$4)+(AH$32*VALORI!$B$3)+(AH$33*VALORI!$B$5),0)</f>
        <v>0</v>
      </c>
      <c r="AI60" s="28">
        <f>IF(AI5&gt;0, (AI$30*VALORI!$B$4)+(AI$31*VALORI!$B$4)+(AI$32*VALORI!$B$3)+(AI$33*VALORI!$B$5),0)</f>
        <v>0</v>
      </c>
      <c r="AJ60" s="28">
        <f>IF(AJ5&gt;0, (AJ$30*VALORI!$B$4)+(AJ$31*VALORI!$B$4)+(AJ$32*VALORI!$B$3)+(AJ$33*VALORI!$B$5),0)</f>
        <v>0</v>
      </c>
      <c r="AK60" s="28">
        <f>IF(AK5&gt;0, (AK$30*VALORI!$B$4)+(AK$31*VALORI!$B$4)+(AK$32*VALORI!$B$3)+(AK$33*VALORI!$B$5),0)</f>
        <v>0</v>
      </c>
      <c r="AL60" s="28">
        <f>IF(AL5&gt;0, (AL$30*VALORI!$B$4)+(AL$31*VALORI!$B$4)+(AL$32*VALORI!$B$3)+(AL$33*VALORI!$B$5),0)</f>
        <v>0</v>
      </c>
      <c r="AM60" s="28">
        <f>IF(AM5&gt;0, (AM$30*VALORI!$B$4)+(AM$31*VALORI!$B$4)+(AM$32*VALORI!$B$3)+(AM$33*VALORI!$B$5),0)</f>
        <v>0</v>
      </c>
      <c r="AN60" s="28">
        <f>IF(AN5&gt;0, (AN$30*VALORI!$B$4)+(AN$31*VALORI!$B$4)+(AN$32*VALORI!$B$3)+(AN$33*VALORI!$B$5),0)</f>
        <v>0</v>
      </c>
      <c r="AO60" s="28">
        <f>IF(AO5&gt;0, (AO$30*VALORI!$B$4)+(AO$31*VALORI!$B$4)+(AO$32*VALORI!$B$3)+(AO$33*VALORI!$B$5),0)</f>
        <v>0</v>
      </c>
    </row>
    <row r="61" spans="23:41" ht="15.75" x14ac:dyDescent="0.25">
      <c r="W61" s="28">
        <f>IF(W6&gt;0, (W$30*VALORI!$B$4)+(W$31*VALORI!$B$4)+(W$32*VALORI!$B$3)+(W$33*VALORI!$B$5),0)</f>
        <v>1240</v>
      </c>
      <c r="X61" s="28">
        <f>IF(X6&gt;0, (X$30*VALORI!$B$4)+(X$31*VALORI!$B$4)+(X$32*VALORI!$B$3)+(X$33*VALORI!$B$5),0)</f>
        <v>3720</v>
      </c>
      <c r="Y61" s="28">
        <f>IF(Y6&gt;0, (Y$30*VALORI!$B$4)+(Y$31*VALORI!$B$4)+(Y$32*VALORI!$B$3)+(Y$33*VALORI!$B$5),0)</f>
        <v>992</v>
      </c>
      <c r="Z61" s="28">
        <f>IF(Z6&gt;0, (Z$30*VALORI!$B$4)+(Z$31*VALORI!$B$4)+(Z$32*VALORI!$B$3)+(Z$33*VALORI!$B$5),0)</f>
        <v>992</v>
      </c>
      <c r="AA61" s="28">
        <f>IF(AA6&gt;0, (AA$30*VALORI!$B$4)+(AA$31*VALORI!$B$4)+(AA$32*VALORI!$B$3)+(AA$33*VALORI!$B$5),0)</f>
        <v>2432</v>
      </c>
      <c r="AB61" s="28">
        <f>IF(AB6&gt;0, (AB$30*VALORI!$B$4)+(AB$31*VALORI!$B$4)+(AB$32*VALORI!$B$3)+(AB$33*VALORI!$B$5),0)</f>
        <v>0</v>
      </c>
      <c r="AC61" s="28">
        <f>IF(AC6&gt;0, (AC$30*VALORI!$B$4)+(AC$31*VALORI!$B$4)+(AC$32*VALORI!$B$3)+(AC$33*VALORI!$B$5),0)</f>
        <v>642</v>
      </c>
      <c r="AD61" s="28">
        <f>IF(AD6&gt;0, (AD$30*VALORI!$B$4)+(AD$31*VALORI!$B$4)+(AD$32*VALORI!$B$3)+(AD$33*VALORI!$B$5),0)</f>
        <v>0</v>
      </c>
      <c r="AE61" s="28">
        <f>IF(AE6&gt;0, (AE$30*VALORI!$B$4)+(AE$31*VALORI!$B$4)+(AE$32*VALORI!$B$3)+(AE$33*VALORI!$B$5),0)</f>
        <v>0</v>
      </c>
      <c r="AF61" s="28">
        <f>IF(AF6&gt;0, (AF$30*VALORI!$B$4)+(AF$31*VALORI!$B$4)+(AF$32*VALORI!$B$3)+(AF$33*VALORI!$B$5),0)</f>
        <v>0</v>
      </c>
      <c r="AG61" s="28">
        <f>IF(AG6&gt;0, (AG$30*VALORI!$B$4)+(AG$31*VALORI!$B$4)+(AG$32*VALORI!$B$3)+(AG$33*VALORI!$B$5),0)</f>
        <v>0</v>
      </c>
      <c r="AH61" s="28">
        <f>IF(AH6&gt;0, (AH$30*VALORI!$B$4)+(AH$31*VALORI!$B$4)+(AH$32*VALORI!$B$3)+(AH$33*VALORI!$B$5),0)</f>
        <v>0</v>
      </c>
      <c r="AI61" s="28">
        <f>IF(AI6&gt;0, (AI$30*VALORI!$B$4)+(AI$31*VALORI!$B$4)+(AI$32*VALORI!$B$3)+(AI$33*VALORI!$B$5),0)</f>
        <v>0</v>
      </c>
      <c r="AJ61" s="28">
        <f>IF(AJ6&gt;0, (AJ$30*VALORI!$B$4)+(AJ$31*VALORI!$B$4)+(AJ$32*VALORI!$B$3)+(AJ$33*VALORI!$B$5),0)</f>
        <v>0</v>
      </c>
      <c r="AK61" s="28">
        <f>IF(AK6&gt;0, (AK$30*VALORI!$B$4)+(AK$31*VALORI!$B$4)+(AK$32*VALORI!$B$3)+(AK$33*VALORI!$B$5),0)</f>
        <v>0</v>
      </c>
      <c r="AL61" s="28">
        <f>IF(AL6&gt;0, (AL$30*VALORI!$B$4)+(AL$31*VALORI!$B$4)+(AL$32*VALORI!$B$3)+(AL$33*VALORI!$B$5),0)</f>
        <v>0</v>
      </c>
      <c r="AM61" s="28">
        <f>IF(AM6&gt;0, (AM$30*VALORI!$B$4)+(AM$31*VALORI!$B$4)+(AM$32*VALORI!$B$3)+(AM$33*VALORI!$B$5),0)</f>
        <v>0</v>
      </c>
      <c r="AN61" s="28">
        <f>IF(AN6&gt;0, (AN$30*VALORI!$B$4)+(AN$31*VALORI!$B$4)+(AN$32*VALORI!$B$3)+(AN$33*VALORI!$B$5),0)</f>
        <v>0</v>
      </c>
      <c r="AO61" s="28">
        <f>IF(AO6&gt;0, (AO$30*VALORI!$B$4)+(AO$31*VALORI!$B$4)+(AO$32*VALORI!$B$3)+(AO$33*VALORI!$B$5),0)</f>
        <v>0</v>
      </c>
    </row>
    <row r="62" spans="23:41" ht="15.75" x14ac:dyDescent="0.25">
      <c r="W62" s="28">
        <f>IF(W7&gt;0, (W$30*VALORI!$B$4)+(W$31*VALORI!$B$4)+(W$32*VALORI!$B$3)+(W$33*VALORI!$B$5),0)</f>
        <v>1240</v>
      </c>
      <c r="X62" s="28">
        <f>IF(X7&gt;0, (X$30*VALORI!$B$4)+(X$31*VALORI!$B$4)+(X$32*VALORI!$B$3)+(X$33*VALORI!$B$5),0)</f>
        <v>3720</v>
      </c>
      <c r="Y62" s="28">
        <f>IF(Y7&gt;0, (Y$30*VALORI!$B$4)+(Y$31*VALORI!$B$4)+(Y$32*VALORI!$B$3)+(Y$33*VALORI!$B$5),0)</f>
        <v>992</v>
      </c>
      <c r="Z62" s="28">
        <f>IF(Z7&gt;0, (Z$30*VALORI!$B$4)+(Z$31*VALORI!$B$4)+(Z$32*VALORI!$B$3)+(Z$33*VALORI!$B$5),0)</f>
        <v>992</v>
      </c>
      <c r="AA62" s="28">
        <f>IF(AA7&gt;0, (AA$30*VALORI!$B$4)+(AA$31*VALORI!$B$4)+(AA$32*VALORI!$B$3)+(AA$33*VALORI!$B$5),0)</f>
        <v>2432</v>
      </c>
      <c r="AB62" s="28">
        <f>IF(AB7&gt;0, (AB$30*VALORI!$B$4)+(AB$31*VALORI!$B$4)+(AB$32*VALORI!$B$3)+(AB$33*VALORI!$B$5),0)</f>
        <v>0</v>
      </c>
      <c r="AC62" s="28">
        <f>IF(AC7&gt;0, (AC$30*VALORI!$B$4)+(AC$31*VALORI!$B$4)+(AC$32*VALORI!$B$3)+(AC$33*VALORI!$B$5),0)</f>
        <v>642</v>
      </c>
      <c r="AD62" s="28">
        <f>IF(AD7&gt;0, (AD$30*VALORI!$B$4)+(AD$31*VALORI!$B$4)+(AD$32*VALORI!$B$3)+(AD$33*VALORI!$B$5),0)</f>
        <v>0</v>
      </c>
      <c r="AE62" s="28">
        <f>IF(AE7&gt;0, (AE$30*VALORI!$B$4)+(AE$31*VALORI!$B$4)+(AE$32*VALORI!$B$3)+(AE$33*VALORI!$B$5),0)</f>
        <v>0</v>
      </c>
      <c r="AF62" s="28">
        <f>IF(AF7&gt;0, (AF$30*VALORI!$B$4)+(AF$31*VALORI!$B$4)+(AF$32*VALORI!$B$3)+(AF$33*VALORI!$B$5),0)</f>
        <v>0</v>
      </c>
      <c r="AG62" s="28">
        <f>IF(AG7&gt;0, (AG$30*VALORI!$B$4)+(AG$31*VALORI!$B$4)+(AG$32*VALORI!$B$3)+(AG$33*VALORI!$B$5),0)</f>
        <v>0</v>
      </c>
      <c r="AH62" s="28">
        <f>IF(AH7&gt;0, (AH$30*VALORI!$B$4)+(AH$31*VALORI!$B$4)+(AH$32*VALORI!$B$3)+(AH$33*VALORI!$B$5),0)</f>
        <v>0</v>
      </c>
      <c r="AI62" s="28">
        <f>IF(AI7&gt;0, (AI$30*VALORI!$B$4)+(AI$31*VALORI!$B$4)+(AI$32*VALORI!$B$3)+(AI$33*VALORI!$B$5),0)</f>
        <v>0</v>
      </c>
      <c r="AJ62" s="28">
        <f>IF(AJ7&gt;0, (AJ$30*VALORI!$B$4)+(AJ$31*VALORI!$B$4)+(AJ$32*VALORI!$B$3)+(AJ$33*VALORI!$B$5),0)</f>
        <v>0</v>
      </c>
      <c r="AK62" s="28">
        <f>IF(AK7&gt;0, (AK$30*VALORI!$B$4)+(AK$31*VALORI!$B$4)+(AK$32*VALORI!$B$3)+(AK$33*VALORI!$B$5),0)</f>
        <v>0</v>
      </c>
      <c r="AL62" s="28">
        <f>IF(AL7&gt;0, (AL$30*VALORI!$B$4)+(AL$31*VALORI!$B$4)+(AL$32*VALORI!$B$3)+(AL$33*VALORI!$B$5),0)</f>
        <v>0</v>
      </c>
      <c r="AM62" s="28">
        <f>IF(AM7&gt;0, (AM$30*VALORI!$B$4)+(AM$31*VALORI!$B$4)+(AM$32*VALORI!$B$3)+(AM$33*VALORI!$B$5),0)</f>
        <v>0</v>
      </c>
      <c r="AN62" s="28">
        <f>IF(AN7&gt;0, (AN$30*VALORI!$B$4)+(AN$31*VALORI!$B$4)+(AN$32*VALORI!$B$3)+(AN$33*VALORI!$B$5),0)</f>
        <v>0</v>
      </c>
      <c r="AO62" s="28">
        <f>IF(AO7&gt;0, (AO$30*VALORI!$B$4)+(AO$31*VALORI!$B$4)+(AO$32*VALORI!$B$3)+(AO$33*VALORI!$B$5),0)</f>
        <v>0</v>
      </c>
    </row>
    <row r="63" spans="23:41" ht="15.75" x14ac:dyDescent="0.25">
      <c r="W63" s="28">
        <f>IF(W8&gt;0, (W$30*VALORI!$B$4)+(W$31*VALORI!$B$4)+(W$32*VALORI!$B$3)+(W$33*VALORI!$B$5),0)</f>
        <v>1240</v>
      </c>
      <c r="X63" s="28">
        <f>IF(X8&gt;0, (X$30*VALORI!$B$4)+(X$31*VALORI!$B$4)+(X$32*VALORI!$B$3)+(X$33*VALORI!$B$5),0)</f>
        <v>3720</v>
      </c>
      <c r="Y63" s="28">
        <f>IF(Y8&gt;0, (Y$30*VALORI!$B$4)+(Y$31*VALORI!$B$4)+(Y$32*VALORI!$B$3)+(Y$33*VALORI!$B$5),0)</f>
        <v>992</v>
      </c>
      <c r="Z63" s="28">
        <f>IF(Z8&gt;0, (Z$30*VALORI!$B$4)+(Z$31*VALORI!$B$4)+(Z$32*VALORI!$B$3)+(Z$33*VALORI!$B$5),0)</f>
        <v>992</v>
      </c>
      <c r="AA63" s="28">
        <f>IF(AA8&gt;0, (AA$30*VALORI!$B$4)+(AA$31*VALORI!$B$4)+(AA$32*VALORI!$B$3)+(AA$33*VALORI!$B$5),0)</f>
        <v>2432</v>
      </c>
      <c r="AB63" s="28">
        <f>IF(AB8&gt;0, (AB$30*VALORI!$B$4)+(AB$31*VALORI!$B$4)+(AB$32*VALORI!$B$3)+(AB$33*VALORI!$B$5),0)</f>
        <v>0</v>
      </c>
      <c r="AC63" s="28">
        <f>IF(AC8&gt;0, (AC$30*VALORI!$B$4)+(AC$31*VALORI!$B$4)+(AC$32*VALORI!$B$3)+(AC$33*VALORI!$B$5),0)</f>
        <v>642</v>
      </c>
      <c r="AD63" s="28">
        <f>IF(AD8&gt;0, (AD$30*VALORI!$B$4)+(AD$31*VALORI!$B$4)+(AD$32*VALORI!$B$3)+(AD$33*VALORI!$B$5),0)</f>
        <v>0</v>
      </c>
      <c r="AE63" s="28">
        <f>IF(AE8&gt;0, (AE$30*VALORI!$B$4)+(AE$31*VALORI!$B$4)+(AE$32*VALORI!$B$3)+(AE$33*VALORI!$B$5),0)</f>
        <v>0</v>
      </c>
      <c r="AF63" s="28">
        <f>IF(AF8&gt;0, (AF$30*VALORI!$B$4)+(AF$31*VALORI!$B$4)+(AF$32*VALORI!$B$3)+(AF$33*VALORI!$B$5),0)</f>
        <v>0</v>
      </c>
      <c r="AG63" s="28">
        <f>IF(AG8&gt;0, (AG$30*VALORI!$B$4)+(AG$31*VALORI!$B$4)+(AG$32*VALORI!$B$3)+(AG$33*VALORI!$B$5),0)</f>
        <v>0</v>
      </c>
      <c r="AH63" s="28">
        <f>IF(AH8&gt;0, (AH$30*VALORI!$B$4)+(AH$31*VALORI!$B$4)+(AH$32*VALORI!$B$3)+(AH$33*VALORI!$B$5),0)</f>
        <v>0</v>
      </c>
      <c r="AI63" s="28">
        <f>IF(AI8&gt;0, (AI$30*VALORI!$B$4)+(AI$31*VALORI!$B$4)+(AI$32*VALORI!$B$3)+(AI$33*VALORI!$B$5),0)</f>
        <v>0</v>
      </c>
      <c r="AJ63" s="28">
        <f>IF(AJ8&gt;0, (AJ$30*VALORI!$B$4)+(AJ$31*VALORI!$B$4)+(AJ$32*VALORI!$B$3)+(AJ$33*VALORI!$B$5),0)</f>
        <v>0</v>
      </c>
      <c r="AK63" s="28">
        <f>IF(AK8&gt;0, (AK$30*VALORI!$B$4)+(AK$31*VALORI!$B$4)+(AK$32*VALORI!$B$3)+(AK$33*VALORI!$B$5),0)</f>
        <v>0</v>
      </c>
      <c r="AL63" s="28">
        <f>IF(AL8&gt;0, (AL$30*VALORI!$B$4)+(AL$31*VALORI!$B$4)+(AL$32*VALORI!$B$3)+(AL$33*VALORI!$B$5),0)</f>
        <v>0</v>
      </c>
      <c r="AM63" s="28">
        <f>IF(AM8&gt;0, (AM$30*VALORI!$B$4)+(AM$31*VALORI!$B$4)+(AM$32*VALORI!$B$3)+(AM$33*VALORI!$B$5),0)</f>
        <v>0</v>
      </c>
      <c r="AN63" s="28">
        <f>IF(AN8&gt;0, (AN$30*VALORI!$B$4)+(AN$31*VALORI!$B$4)+(AN$32*VALORI!$B$3)+(AN$33*VALORI!$B$5),0)</f>
        <v>0</v>
      </c>
      <c r="AO63" s="28">
        <f>IF(AO8&gt;0, (AO$30*VALORI!$B$4)+(AO$31*VALORI!$B$4)+(AO$32*VALORI!$B$3)+(AO$33*VALORI!$B$5),0)</f>
        <v>0</v>
      </c>
    </row>
    <row r="64" spans="23:41" ht="15.75" x14ac:dyDescent="0.25">
      <c r="W64" s="28">
        <f>IF(W9&gt;0, (W$30*VALORI!$B$4)+(W$31*VALORI!$B$4)+(W$32*VALORI!$B$3)+(W$33*VALORI!$B$5),0)</f>
        <v>1240</v>
      </c>
      <c r="X64" s="28">
        <f>IF(X9&gt;0, (X$30*VALORI!$B$4)+(X$31*VALORI!$B$4)+(X$32*VALORI!$B$3)+(X$33*VALORI!$B$5),0)</f>
        <v>3720</v>
      </c>
      <c r="Y64" s="28">
        <f>IF(Y9&gt;0, (Y$30*VALORI!$B$4)+(Y$31*VALORI!$B$4)+(Y$32*VALORI!$B$3)+(Y$33*VALORI!$B$5),0)</f>
        <v>992</v>
      </c>
      <c r="Z64" s="28">
        <f>IF(Z9&gt;0, (Z$30*VALORI!$B$4)+(Z$31*VALORI!$B$4)+(Z$32*VALORI!$B$3)+(Z$33*VALORI!$B$5),0)</f>
        <v>992</v>
      </c>
      <c r="AA64" s="28">
        <f>IF(AA9&gt;0, (AA$30*VALORI!$B$4)+(AA$31*VALORI!$B$4)+(AA$32*VALORI!$B$3)+(AA$33*VALORI!$B$5),0)</f>
        <v>2432</v>
      </c>
      <c r="AB64" s="28">
        <f>IF(AB9&gt;0, (AB$30*VALORI!$B$4)+(AB$31*VALORI!$B$4)+(AB$32*VALORI!$B$3)+(AB$33*VALORI!$B$5),0)</f>
        <v>0</v>
      </c>
      <c r="AC64" s="28">
        <f>IF(AC9&gt;0, (AC$30*VALORI!$B$4)+(AC$31*VALORI!$B$4)+(AC$32*VALORI!$B$3)+(AC$33*VALORI!$B$5),0)</f>
        <v>642</v>
      </c>
      <c r="AD64" s="28">
        <f>IF(AD9&gt;0, (AD$30*VALORI!$B$4)+(AD$31*VALORI!$B$4)+(AD$32*VALORI!$B$3)+(AD$33*VALORI!$B$5),0)</f>
        <v>0</v>
      </c>
      <c r="AE64" s="28">
        <f>IF(AE9&gt;0, (AE$30*VALORI!$B$4)+(AE$31*VALORI!$B$4)+(AE$32*VALORI!$B$3)+(AE$33*VALORI!$B$5),0)</f>
        <v>0</v>
      </c>
      <c r="AF64" s="28">
        <f>IF(AF9&gt;0, (AF$30*VALORI!$B$4)+(AF$31*VALORI!$B$4)+(AF$32*VALORI!$B$3)+(AF$33*VALORI!$B$5),0)</f>
        <v>0</v>
      </c>
      <c r="AG64" s="28">
        <f>IF(AG9&gt;0, (AG$30*VALORI!$B$4)+(AG$31*VALORI!$B$4)+(AG$32*VALORI!$B$3)+(AG$33*VALORI!$B$5),0)</f>
        <v>0</v>
      </c>
      <c r="AH64" s="28">
        <f>IF(AH9&gt;0, (AH$30*VALORI!$B$4)+(AH$31*VALORI!$B$4)+(AH$32*VALORI!$B$3)+(AH$33*VALORI!$B$5),0)</f>
        <v>0</v>
      </c>
      <c r="AI64" s="28">
        <f>IF(AI9&gt;0, (AI$30*VALORI!$B$4)+(AI$31*VALORI!$B$4)+(AI$32*VALORI!$B$3)+(AI$33*VALORI!$B$5),0)</f>
        <v>0</v>
      </c>
      <c r="AJ64" s="28">
        <f>IF(AJ9&gt;0, (AJ$30*VALORI!$B$4)+(AJ$31*VALORI!$B$4)+(AJ$32*VALORI!$B$3)+(AJ$33*VALORI!$B$5),0)</f>
        <v>0</v>
      </c>
      <c r="AK64" s="28">
        <f>IF(AK9&gt;0, (AK$30*VALORI!$B$4)+(AK$31*VALORI!$B$4)+(AK$32*VALORI!$B$3)+(AK$33*VALORI!$B$5),0)</f>
        <v>0</v>
      </c>
      <c r="AL64" s="28">
        <f>IF(AL9&gt;0, (AL$30*VALORI!$B$4)+(AL$31*VALORI!$B$4)+(AL$32*VALORI!$B$3)+(AL$33*VALORI!$B$5),0)</f>
        <v>0</v>
      </c>
      <c r="AM64" s="28">
        <f>IF(AM9&gt;0, (AM$30*VALORI!$B$4)+(AM$31*VALORI!$B$4)+(AM$32*VALORI!$B$3)+(AM$33*VALORI!$B$5),0)</f>
        <v>0</v>
      </c>
      <c r="AN64" s="28">
        <f>IF(AN9&gt;0, (AN$30*VALORI!$B$4)+(AN$31*VALORI!$B$4)+(AN$32*VALORI!$B$3)+(AN$33*VALORI!$B$5),0)</f>
        <v>0</v>
      </c>
      <c r="AO64" s="28">
        <f>IF(AO9&gt;0, (AO$30*VALORI!$B$4)+(AO$31*VALORI!$B$4)+(AO$32*VALORI!$B$3)+(AO$33*VALORI!$B$5),0)</f>
        <v>0</v>
      </c>
    </row>
    <row r="65" spans="23:41" ht="15.75" x14ac:dyDescent="0.25">
      <c r="W65" s="28">
        <f>IF(W10&gt;0, (W$30*VALORI!$B$4)+(W$31*VALORI!$B$4)+(W$32*VALORI!$B$3)+(W$33*VALORI!$B$5),0)</f>
        <v>0</v>
      </c>
      <c r="X65" s="28">
        <f>IF(X10&gt;0, (X$30*VALORI!$B$4)+(X$31*VALORI!$B$4)+(X$32*VALORI!$B$3)+(X$33*VALORI!$B$5),0)</f>
        <v>0</v>
      </c>
      <c r="Y65" s="28">
        <f>IF(Y10&gt;0, (Y$30*VALORI!$B$4)+(Y$31*VALORI!$B$4)+(Y$32*VALORI!$B$3)+(Y$33*VALORI!$B$5),0)</f>
        <v>0</v>
      </c>
      <c r="Z65" s="28">
        <f>IF(Z10&gt;0, (Z$30*VALORI!$B$4)+(Z$31*VALORI!$B$4)+(Z$32*VALORI!$B$3)+(Z$33*VALORI!$B$5),0)</f>
        <v>0</v>
      </c>
      <c r="AA65" s="28">
        <f>IF(AA10&gt;0, (AA$30*VALORI!$B$4)+(AA$31*VALORI!$B$4)+(AA$32*VALORI!$B$3)+(AA$33*VALORI!$B$5),0)</f>
        <v>0</v>
      </c>
      <c r="AB65" s="28">
        <f>IF(AB10&gt;0, (AB$30*VALORI!$B$4)+(AB$31*VALORI!$B$4)+(AB$32*VALORI!$B$3)+(AB$33*VALORI!$B$5),0)</f>
        <v>0</v>
      </c>
      <c r="AC65" s="28">
        <f>IF(AC10&gt;0, (AC$30*VALORI!$B$4)+(AC$31*VALORI!$B$4)+(AC$32*VALORI!$B$3)+(AC$33*VALORI!$B$5),0)</f>
        <v>0</v>
      </c>
      <c r="AD65" s="28">
        <f>IF(AD10&gt;0, (AD$30*VALORI!$B$4)+(AD$31*VALORI!$B$4)+(AD$32*VALORI!$B$3)+(AD$33*VALORI!$B$5),0)</f>
        <v>0</v>
      </c>
      <c r="AE65" s="28">
        <f>IF(AE10&gt;0, (AE$30*VALORI!$B$4)+(AE$31*VALORI!$B$4)+(AE$32*VALORI!$B$3)+(AE$33*VALORI!$B$5),0)</f>
        <v>0</v>
      </c>
      <c r="AF65" s="28">
        <f>IF(AF10&gt;0, (AF$30*VALORI!$B$4)+(AF$31*VALORI!$B$4)+(AF$32*VALORI!$B$3)+(AF$33*VALORI!$B$5),0)</f>
        <v>0</v>
      </c>
      <c r="AG65" s="28">
        <f>IF(AG10&gt;0, (AG$30*VALORI!$B$4)+(AG$31*VALORI!$B$4)+(AG$32*VALORI!$B$3)+(AG$33*VALORI!$B$5),0)</f>
        <v>0</v>
      </c>
      <c r="AH65" s="28">
        <f>IF(AH10&gt;0, (AH$30*VALORI!$B$4)+(AH$31*VALORI!$B$4)+(AH$32*VALORI!$B$3)+(AH$33*VALORI!$B$5),0)</f>
        <v>0</v>
      </c>
      <c r="AI65" s="28">
        <f>IF(AI10&gt;0, (AI$30*VALORI!$B$4)+(AI$31*VALORI!$B$4)+(AI$32*VALORI!$B$3)+(AI$33*VALORI!$B$5),0)</f>
        <v>0</v>
      </c>
      <c r="AJ65" s="28">
        <f>IF(AJ10&gt;0, (AJ$30*VALORI!$B$4)+(AJ$31*VALORI!$B$4)+(AJ$32*VALORI!$B$3)+(AJ$33*VALORI!$B$5),0)</f>
        <v>0</v>
      </c>
      <c r="AK65" s="28">
        <f>IF(AK10&gt;0, (AK$30*VALORI!$B$4)+(AK$31*VALORI!$B$4)+(AK$32*VALORI!$B$3)+(AK$33*VALORI!$B$5),0)</f>
        <v>0</v>
      </c>
      <c r="AL65" s="28">
        <f>IF(AL10&gt;0, (AL$30*VALORI!$B$4)+(AL$31*VALORI!$B$4)+(AL$32*VALORI!$B$3)+(AL$33*VALORI!$B$5),0)</f>
        <v>0</v>
      </c>
      <c r="AM65" s="28">
        <f>IF(AM10&gt;0, (AM$30*VALORI!$B$4)+(AM$31*VALORI!$B$4)+(AM$32*VALORI!$B$3)+(AM$33*VALORI!$B$5),0)</f>
        <v>0</v>
      </c>
      <c r="AN65" s="28">
        <f>IF(AN10&gt;0, (AN$30*VALORI!$B$4)+(AN$31*VALORI!$B$4)+(AN$32*VALORI!$B$3)+(AN$33*VALORI!$B$5),0)</f>
        <v>0</v>
      </c>
      <c r="AO65" s="28">
        <f>IF(AO10&gt;0, (AO$30*VALORI!$B$4)+(AO$31*VALORI!$B$4)+(AO$32*VALORI!$B$3)+(AO$33*VALORI!$B$5),0)</f>
        <v>0</v>
      </c>
    </row>
    <row r="66" spans="23:41" ht="15.75" x14ac:dyDescent="0.25">
      <c r="W66" s="28">
        <f>IF(W11&gt;0, (W$30*VALORI!$B$4)+(W$31*VALORI!$B$4)+(W$32*VALORI!$B$3)+(W$33*VALORI!$B$5),0)</f>
        <v>0</v>
      </c>
      <c r="X66" s="28">
        <f>IF(X11&gt;0, (X$30*VALORI!$B$4)+(X$31*VALORI!$B$4)+(X$32*VALORI!$B$3)+(X$33*VALORI!$B$5),0)</f>
        <v>0</v>
      </c>
      <c r="Y66" s="28">
        <f>IF(Y11&gt;0, (Y$30*VALORI!$B$4)+(Y$31*VALORI!$B$4)+(Y$32*VALORI!$B$3)+(Y$33*VALORI!$B$5),0)</f>
        <v>0</v>
      </c>
      <c r="Z66" s="28">
        <f>IF(Z11&gt;0, (Z$30*VALORI!$B$4)+(Z$31*VALORI!$B$4)+(Z$32*VALORI!$B$3)+(Z$33*VALORI!$B$5),0)</f>
        <v>0</v>
      </c>
      <c r="AA66" s="28">
        <f>IF(AA11&gt;0, (AA$30*VALORI!$B$4)+(AA$31*VALORI!$B$4)+(AA$32*VALORI!$B$3)+(AA$33*VALORI!$B$5),0)</f>
        <v>0</v>
      </c>
      <c r="AB66" s="28">
        <f>IF(AB11&gt;0, (AB$30*VALORI!$B$4)+(AB$31*VALORI!$B$4)+(AB$32*VALORI!$B$3)+(AB$33*VALORI!$B$5),0)</f>
        <v>0</v>
      </c>
      <c r="AC66" s="28">
        <f>IF(AC11&gt;0, (AC$30*VALORI!$B$4)+(AC$31*VALORI!$B$4)+(AC$32*VALORI!$B$3)+(AC$33*VALORI!$B$5),0)</f>
        <v>0</v>
      </c>
      <c r="AD66" s="28">
        <f>IF(AD11&gt;0, (AD$30*VALORI!$B$4)+(AD$31*VALORI!$B$4)+(AD$32*VALORI!$B$3)+(AD$33*VALORI!$B$5),0)</f>
        <v>0</v>
      </c>
      <c r="AE66" s="28">
        <f>IF(AE11&gt;0, (AE$30*VALORI!$B$4)+(AE$31*VALORI!$B$4)+(AE$32*VALORI!$B$3)+(AE$33*VALORI!$B$5),0)</f>
        <v>0</v>
      </c>
      <c r="AF66" s="28">
        <f>IF(AF11&gt;0, (AF$30*VALORI!$B$4)+(AF$31*VALORI!$B$4)+(AF$32*VALORI!$B$3)+(AF$33*VALORI!$B$5),0)</f>
        <v>0</v>
      </c>
      <c r="AG66" s="28">
        <f>IF(AG11&gt;0, (AG$30*VALORI!$B$4)+(AG$31*VALORI!$B$4)+(AG$32*VALORI!$B$3)+(AG$33*VALORI!$B$5),0)</f>
        <v>0</v>
      </c>
      <c r="AH66" s="28">
        <f>IF(AH11&gt;0, (AH$30*VALORI!$B$4)+(AH$31*VALORI!$B$4)+(AH$32*VALORI!$B$3)+(AH$33*VALORI!$B$5),0)</f>
        <v>0</v>
      </c>
      <c r="AI66" s="28">
        <f>IF(AI11&gt;0, (AI$30*VALORI!$B$4)+(AI$31*VALORI!$B$4)+(AI$32*VALORI!$B$3)+(AI$33*VALORI!$B$5),0)</f>
        <v>0</v>
      </c>
      <c r="AJ66" s="28">
        <f>IF(AJ11&gt;0, (AJ$30*VALORI!$B$4)+(AJ$31*VALORI!$B$4)+(AJ$32*VALORI!$B$3)+(AJ$33*VALORI!$B$5),0)</f>
        <v>0</v>
      </c>
      <c r="AK66" s="28">
        <f>IF(AK11&gt;0, (AK$30*VALORI!$B$4)+(AK$31*VALORI!$B$4)+(AK$32*VALORI!$B$3)+(AK$33*VALORI!$B$5),0)</f>
        <v>0</v>
      </c>
      <c r="AL66" s="28">
        <f>IF(AL11&gt;0, (AL$30*VALORI!$B$4)+(AL$31*VALORI!$B$4)+(AL$32*VALORI!$B$3)+(AL$33*VALORI!$B$5),0)</f>
        <v>0</v>
      </c>
      <c r="AM66" s="28">
        <f>IF(AM11&gt;0, (AM$30*VALORI!$B$4)+(AM$31*VALORI!$B$4)+(AM$32*VALORI!$B$3)+(AM$33*VALORI!$B$5),0)</f>
        <v>0</v>
      </c>
      <c r="AN66" s="28">
        <f>IF(AN11&gt;0, (AN$30*VALORI!$B$4)+(AN$31*VALORI!$B$4)+(AN$32*VALORI!$B$3)+(AN$33*VALORI!$B$5),0)</f>
        <v>0</v>
      </c>
      <c r="AO66" s="28">
        <f>IF(AO11&gt;0, (AO$30*VALORI!$B$4)+(AO$31*VALORI!$B$4)+(AO$32*VALORI!$B$3)+(AO$33*VALORI!$B$5),0)</f>
        <v>0</v>
      </c>
    </row>
    <row r="67" spans="23:41" ht="15.75" x14ac:dyDescent="0.25">
      <c r="W67" s="28">
        <f>IF(W12&gt;0, (W$30*VALORI!$B$4)+(W$31*VALORI!$B$4)+(W$32*VALORI!$B$3)+(W$33*VALORI!$B$5),0)</f>
        <v>0</v>
      </c>
      <c r="X67" s="28">
        <f>IF(X12&gt;0, (X$30*VALORI!$B$4)+(X$31*VALORI!$B$4)+(X$32*VALORI!$B$3)+(X$33*VALORI!$B$5),0)</f>
        <v>0</v>
      </c>
      <c r="Y67" s="28">
        <f>IF(Y12&gt;0, (Y$30*VALORI!$B$4)+(Y$31*VALORI!$B$4)+(Y$32*VALORI!$B$3)+(Y$33*VALORI!$B$5),0)</f>
        <v>0</v>
      </c>
      <c r="Z67" s="28">
        <f>IF(Z12&gt;0, (Z$30*VALORI!$B$4)+(Z$31*VALORI!$B$4)+(Z$32*VALORI!$B$3)+(Z$33*VALORI!$B$5),0)</f>
        <v>0</v>
      </c>
      <c r="AA67" s="28">
        <f>IF(AA12&gt;0, (AA$30*VALORI!$B$4)+(AA$31*VALORI!$B$4)+(AA$32*VALORI!$B$3)+(AA$33*VALORI!$B$5),0)</f>
        <v>0</v>
      </c>
      <c r="AB67" s="28">
        <f>IF(AB12&gt;0, (AB$30*VALORI!$B$4)+(AB$31*VALORI!$B$4)+(AB$32*VALORI!$B$3)+(AB$33*VALORI!$B$5),0)</f>
        <v>0</v>
      </c>
      <c r="AC67" s="28">
        <f>IF(AC12&gt;0, (AC$30*VALORI!$B$4)+(AC$31*VALORI!$B$4)+(AC$32*VALORI!$B$3)+(AC$33*VALORI!$B$5),0)</f>
        <v>0</v>
      </c>
      <c r="AD67" s="28">
        <f>IF(AD12&gt;0, (AD$30*VALORI!$B$4)+(AD$31*VALORI!$B$4)+(AD$32*VALORI!$B$3)+(AD$33*VALORI!$B$5),0)</f>
        <v>0</v>
      </c>
      <c r="AE67" s="28">
        <f>IF(AE12&gt;0, (AE$30*VALORI!$B$4)+(AE$31*VALORI!$B$4)+(AE$32*VALORI!$B$3)+(AE$33*VALORI!$B$5),0)</f>
        <v>0</v>
      </c>
      <c r="AF67" s="28">
        <f>IF(AF12&gt;0, (AF$30*VALORI!$B$4)+(AF$31*VALORI!$B$4)+(AF$32*VALORI!$B$3)+(AF$33*VALORI!$B$5),0)</f>
        <v>0</v>
      </c>
      <c r="AG67" s="28">
        <f>IF(AG12&gt;0, (AG$30*VALORI!$B$4)+(AG$31*VALORI!$B$4)+(AG$32*VALORI!$B$3)+(AG$33*VALORI!$B$5),0)</f>
        <v>0</v>
      </c>
      <c r="AH67" s="28">
        <f>IF(AH12&gt;0, (AH$30*VALORI!$B$4)+(AH$31*VALORI!$B$4)+(AH$32*VALORI!$B$3)+(AH$33*VALORI!$B$5),0)</f>
        <v>0</v>
      </c>
      <c r="AI67" s="28">
        <f>IF(AI12&gt;0, (AI$30*VALORI!$B$4)+(AI$31*VALORI!$B$4)+(AI$32*VALORI!$B$3)+(AI$33*VALORI!$B$5),0)</f>
        <v>0</v>
      </c>
      <c r="AJ67" s="28">
        <f>IF(AJ12&gt;0, (AJ$30*VALORI!$B$4)+(AJ$31*VALORI!$B$4)+(AJ$32*VALORI!$B$3)+(AJ$33*VALORI!$B$5),0)</f>
        <v>0</v>
      </c>
      <c r="AK67" s="28">
        <f>IF(AK12&gt;0, (AK$30*VALORI!$B$4)+(AK$31*VALORI!$B$4)+(AK$32*VALORI!$B$3)+(AK$33*VALORI!$B$5),0)</f>
        <v>0</v>
      </c>
      <c r="AL67" s="28">
        <f>IF(AL12&gt;0, (AL$30*VALORI!$B$4)+(AL$31*VALORI!$B$4)+(AL$32*VALORI!$B$3)+(AL$33*VALORI!$B$5),0)</f>
        <v>0</v>
      </c>
      <c r="AM67" s="28">
        <f>IF(AM12&gt;0, (AM$30*VALORI!$B$4)+(AM$31*VALORI!$B$4)+(AM$32*VALORI!$B$3)+(AM$33*VALORI!$B$5),0)</f>
        <v>0</v>
      </c>
      <c r="AN67" s="28">
        <f>IF(AN12&gt;0, (AN$30*VALORI!$B$4)+(AN$31*VALORI!$B$4)+(AN$32*VALORI!$B$3)+(AN$33*VALORI!$B$5),0)</f>
        <v>0</v>
      </c>
      <c r="AO67" s="28">
        <f>IF(AO12&gt;0, (AO$30*VALORI!$B$4)+(AO$31*VALORI!$B$4)+(AO$32*VALORI!$B$3)+(AO$33*VALORI!$B$5),0)</f>
        <v>0</v>
      </c>
    </row>
    <row r="68" spans="23:41" ht="15.75" x14ac:dyDescent="0.25">
      <c r="W68" s="28">
        <f>IF(W13&gt;0, (W$30*VALORI!$B$4)+(W$31*VALORI!$B$4)+(W$32*VALORI!$B$3)+(W$33*VALORI!$B$5),0)</f>
        <v>0</v>
      </c>
      <c r="X68" s="28">
        <f>IF(X13&gt;0, (X$30*VALORI!$B$4)+(X$31*VALORI!$B$4)+(X$32*VALORI!$B$3)+(X$33*VALORI!$B$5),0)</f>
        <v>0</v>
      </c>
      <c r="Y68" s="28">
        <f>IF(Y13&gt;0, (Y$30*VALORI!$B$4)+(Y$31*VALORI!$B$4)+(Y$32*VALORI!$B$3)+(Y$33*VALORI!$B$5),0)</f>
        <v>0</v>
      </c>
      <c r="Z68" s="28">
        <f>IF(Z13&gt;0, (Z$30*VALORI!$B$4)+(Z$31*VALORI!$B$4)+(Z$32*VALORI!$B$3)+(Z$33*VALORI!$B$5),0)</f>
        <v>0</v>
      </c>
      <c r="AA68" s="28">
        <f>IF(AA13&gt;0, (AA$30*VALORI!$B$4)+(AA$31*VALORI!$B$4)+(AA$32*VALORI!$B$3)+(AA$33*VALORI!$B$5),0)</f>
        <v>0</v>
      </c>
      <c r="AB68" s="28">
        <f>IF(AB13&gt;0, (AB$30*VALORI!$B$4)+(AB$31*VALORI!$B$4)+(AB$32*VALORI!$B$3)+(AB$33*VALORI!$B$5),0)</f>
        <v>0</v>
      </c>
      <c r="AC68" s="28">
        <f>IF(AC13&gt;0, (AC$30*VALORI!$B$4)+(AC$31*VALORI!$B$4)+(AC$32*VALORI!$B$3)+(AC$33*VALORI!$B$5),0)</f>
        <v>0</v>
      </c>
      <c r="AD68" s="28">
        <f>IF(AD13&gt;0, (AD$30*VALORI!$B$4)+(AD$31*VALORI!$B$4)+(AD$32*VALORI!$B$3)+(AD$33*VALORI!$B$5),0)</f>
        <v>0</v>
      </c>
      <c r="AE68" s="28">
        <f>IF(AE13&gt;0, (AE$30*VALORI!$B$4)+(AE$31*VALORI!$B$4)+(AE$32*VALORI!$B$3)+(AE$33*VALORI!$B$5),0)</f>
        <v>0</v>
      </c>
      <c r="AF68" s="28">
        <f>IF(AF13&gt;0, (AF$30*VALORI!$B$4)+(AF$31*VALORI!$B$4)+(AF$32*VALORI!$B$3)+(AF$33*VALORI!$B$5),0)</f>
        <v>0</v>
      </c>
      <c r="AG68" s="28">
        <f>IF(AG13&gt;0, (AG$30*VALORI!$B$4)+(AG$31*VALORI!$B$4)+(AG$32*VALORI!$B$3)+(AG$33*VALORI!$B$5),0)</f>
        <v>0</v>
      </c>
      <c r="AH68" s="28">
        <f>IF(AH13&gt;0, (AH$30*VALORI!$B$4)+(AH$31*VALORI!$B$4)+(AH$32*VALORI!$B$3)+(AH$33*VALORI!$B$5),0)</f>
        <v>0</v>
      </c>
      <c r="AI68" s="28">
        <f>IF(AI13&gt;0, (AI$30*VALORI!$B$4)+(AI$31*VALORI!$B$4)+(AI$32*VALORI!$B$3)+(AI$33*VALORI!$B$5),0)</f>
        <v>0</v>
      </c>
      <c r="AJ68" s="28">
        <f>IF(AJ13&gt;0, (AJ$30*VALORI!$B$4)+(AJ$31*VALORI!$B$4)+(AJ$32*VALORI!$B$3)+(AJ$33*VALORI!$B$5),0)</f>
        <v>0</v>
      </c>
      <c r="AK68" s="28">
        <f>IF(AK13&gt;0, (AK$30*VALORI!$B$4)+(AK$31*VALORI!$B$4)+(AK$32*VALORI!$B$3)+(AK$33*VALORI!$B$5),0)</f>
        <v>0</v>
      </c>
      <c r="AL68" s="28">
        <f>IF(AL13&gt;0, (AL$30*VALORI!$B$4)+(AL$31*VALORI!$B$4)+(AL$32*VALORI!$B$3)+(AL$33*VALORI!$B$5),0)</f>
        <v>0</v>
      </c>
      <c r="AM68" s="28">
        <f>IF(AM13&gt;0, (AM$30*VALORI!$B$4)+(AM$31*VALORI!$B$4)+(AM$32*VALORI!$B$3)+(AM$33*VALORI!$B$5),0)</f>
        <v>0</v>
      </c>
      <c r="AN68" s="28">
        <f>IF(AN13&gt;0, (AN$30*VALORI!$B$4)+(AN$31*VALORI!$B$4)+(AN$32*VALORI!$B$3)+(AN$33*VALORI!$B$5),0)</f>
        <v>0</v>
      </c>
      <c r="AO68" s="28">
        <f>IF(AO13&gt;0, (AO$30*VALORI!$B$4)+(AO$31*VALORI!$B$4)+(AO$32*VALORI!$B$3)+(AO$33*VALORI!$B$5),0)</f>
        <v>0</v>
      </c>
    </row>
    <row r="69" spans="23:41" ht="15.75" x14ac:dyDescent="0.25">
      <c r="W69" s="28">
        <f>IF(W14&gt;0, (W$30*VALORI!$B$4)+(W$31*VALORI!$B$4)+(W$32*VALORI!$B$3)+(W$33*VALORI!$B$5),0)</f>
        <v>0</v>
      </c>
      <c r="X69" s="28">
        <f>IF(X14&gt;0, (X$30*VALORI!$B$4)+(X$31*VALORI!$B$4)+(X$32*VALORI!$B$3)+(X$33*VALORI!$B$5),0)</f>
        <v>0</v>
      </c>
      <c r="Y69" s="28">
        <f>IF(Y14&gt;0, (Y$30*VALORI!$B$4)+(Y$31*VALORI!$B$4)+(Y$32*VALORI!$B$3)+(Y$33*VALORI!$B$5),0)</f>
        <v>0</v>
      </c>
      <c r="Z69" s="28">
        <f>IF(Z14&gt;0, (Z$30*VALORI!$B$4)+(Z$31*VALORI!$B$4)+(Z$32*VALORI!$B$3)+(Z$33*VALORI!$B$5),0)</f>
        <v>0</v>
      </c>
      <c r="AA69" s="28">
        <f>IF(AA14&gt;0, (AA$30*VALORI!$B$4)+(AA$31*VALORI!$B$4)+(AA$32*VALORI!$B$3)+(AA$33*VALORI!$B$5),0)</f>
        <v>0</v>
      </c>
      <c r="AB69" s="28">
        <f>IF(AB14&gt;0, (AB$30*VALORI!$B$4)+(AB$31*VALORI!$B$4)+(AB$32*VALORI!$B$3)+(AB$33*VALORI!$B$5),0)</f>
        <v>0</v>
      </c>
      <c r="AC69" s="28">
        <f>IF(AC14&gt;0, (AC$30*VALORI!$B$4)+(AC$31*VALORI!$B$4)+(AC$32*VALORI!$B$3)+(AC$33*VALORI!$B$5),0)</f>
        <v>0</v>
      </c>
      <c r="AD69" s="28">
        <f>IF(AD14&gt;0, (AD$30*VALORI!$B$4)+(AD$31*VALORI!$B$4)+(AD$32*VALORI!$B$3)+(AD$33*VALORI!$B$5),0)</f>
        <v>0</v>
      </c>
      <c r="AE69" s="28">
        <f>IF(AE14&gt;0, (AE$30*VALORI!$B$4)+(AE$31*VALORI!$B$4)+(AE$32*VALORI!$B$3)+(AE$33*VALORI!$B$5),0)</f>
        <v>0</v>
      </c>
      <c r="AF69" s="28">
        <f>IF(AF14&gt;0, (AF$30*VALORI!$B$4)+(AF$31*VALORI!$B$4)+(AF$32*VALORI!$B$3)+(AF$33*VALORI!$B$5),0)</f>
        <v>0</v>
      </c>
      <c r="AG69" s="28">
        <f>IF(AG14&gt;0, (AG$30*VALORI!$B$4)+(AG$31*VALORI!$B$4)+(AG$32*VALORI!$B$3)+(AG$33*VALORI!$B$5),0)</f>
        <v>0</v>
      </c>
      <c r="AH69" s="28">
        <f>IF(AH14&gt;0, (AH$30*VALORI!$B$4)+(AH$31*VALORI!$B$4)+(AH$32*VALORI!$B$3)+(AH$33*VALORI!$B$5),0)</f>
        <v>0</v>
      </c>
      <c r="AI69" s="28">
        <f>IF(AI14&gt;0, (AI$30*VALORI!$B$4)+(AI$31*VALORI!$B$4)+(AI$32*VALORI!$B$3)+(AI$33*VALORI!$B$5),0)</f>
        <v>0</v>
      </c>
      <c r="AJ69" s="28">
        <f>IF(AJ14&gt;0, (AJ$30*VALORI!$B$4)+(AJ$31*VALORI!$B$4)+(AJ$32*VALORI!$B$3)+(AJ$33*VALORI!$B$5),0)</f>
        <v>0</v>
      </c>
      <c r="AK69" s="28">
        <f>IF(AK14&gt;0, (AK$30*VALORI!$B$4)+(AK$31*VALORI!$B$4)+(AK$32*VALORI!$B$3)+(AK$33*VALORI!$B$5),0)</f>
        <v>0</v>
      </c>
      <c r="AL69" s="28">
        <f>IF(AL14&gt;0, (AL$30*VALORI!$B$4)+(AL$31*VALORI!$B$4)+(AL$32*VALORI!$B$3)+(AL$33*VALORI!$B$5),0)</f>
        <v>0</v>
      </c>
      <c r="AM69" s="28">
        <f>IF(AM14&gt;0, (AM$30*VALORI!$B$4)+(AM$31*VALORI!$B$4)+(AM$32*VALORI!$B$3)+(AM$33*VALORI!$B$5),0)</f>
        <v>0</v>
      </c>
      <c r="AN69" s="28">
        <f>IF(AN14&gt;0, (AN$30*VALORI!$B$4)+(AN$31*VALORI!$B$4)+(AN$32*VALORI!$B$3)+(AN$33*VALORI!$B$5),0)</f>
        <v>0</v>
      </c>
      <c r="AO69" s="28">
        <f>IF(AO14&gt;0, (AO$30*VALORI!$B$4)+(AO$31*VALORI!$B$4)+(AO$32*VALORI!$B$3)+(AO$33*VALORI!$B$5),0)</f>
        <v>0</v>
      </c>
    </row>
    <row r="70" spans="23:41" ht="15.75" x14ac:dyDescent="0.25">
      <c r="W70" s="28">
        <f>IF(W15&gt;0, (W$30*VALORI!$B$4)+(W$31*VALORI!$B$4)+(W$32*VALORI!$B$3)+(W$33*VALORI!$B$5),0)</f>
        <v>0</v>
      </c>
      <c r="X70" s="28">
        <f>IF(X15&gt;0, (X$30*VALORI!$B$4)+(X$31*VALORI!$B$4)+(X$32*VALORI!$B$3)+(X$33*VALORI!$B$5),0)</f>
        <v>0</v>
      </c>
      <c r="Y70" s="28">
        <f>IF(Y15&gt;0, (Y$30*VALORI!$B$4)+(Y$31*VALORI!$B$4)+(Y$32*VALORI!$B$3)+(Y$33*VALORI!$B$5),0)</f>
        <v>0</v>
      </c>
      <c r="Z70" s="28">
        <f>IF(Z15&gt;0, (Z$30*VALORI!$B$4)+(Z$31*VALORI!$B$4)+(Z$32*VALORI!$B$3)+(Z$33*VALORI!$B$5),0)</f>
        <v>0</v>
      </c>
      <c r="AA70" s="28">
        <f>IF(AA15&gt;0, (AA$30*VALORI!$B$4)+(AA$31*VALORI!$B$4)+(AA$32*VALORI!$B$3)+(AA$33*VALORI!$B$5),0)</f>
        <v>0</v>
      </c>
      <c r="AB70" s="28">
        <f>IF(AB15&gt;0, (AB$30*VALORI!$B$4)+(AB$31*VALORI!$B$4)+(AB$32*VALORI!$B$3)+(AB$33*VALORI!$B$5),0)</f>
        <v>0</v>
      </c>
      <c r="AC70" s="28">
        <f>IF(AC15&gt;0, (AC$30*VALORI!$B$4)+(AC$31*VALORI!$B$4)+(AC$32*VALORI!$B$3)+(AC$33*VALORI!$B$5),0)</f>
        <v>0</v>
      </c>
      <c r="AD70" s="28">
        <f>IF(AD15&gt;0, (AD$30*VALORI!$B$4)+(AD$31*VALORI!$B$4)+(AD$32*VALORI!$B$3)+(AD$33*VALORI!$B$5),0)</f>
        <v>0</v>
      </c>
      <c r="AE70" s="28">
        <f>IF(AE15&gt;0, (AE$30*VALORI!$B$4)+(AE$31*VALORI!$B$4)+(AE$32*VALORI!$B$3)+(AE$33*VALORI!$B$5),0)</f>
        <v>0</v>
      </c>
      <c r="AF70" s="28">
        <f>IF(AF15&gt;0, (AF$30*VALORI!$B$4)+(AF$31*VALORI!$B$4)+(AF$32*VALORI!$B$3)+(AF$33*VALORI!$B$5),0)</f>
        <v>0</v>
      </c>
      <c r="AG70" s="28">
        <f>IF(AG15&gt;0, (AG$30*VALORI!$B$4)+(AG$31*VALORI!$B$4)+(AG$32*VALORI!$B$3)+(AG$33*VALORI!$B$5),0)</f>
        <v>0</v>
      </c>
      <c r="AH70" s="28">
        <f>IF(AH15&gt;0, (AH$30*VALORI!$B$4)+(AH$31*VALORI!$B$4)+(AH$32*VALORI!$B$3)+(AH$33*VALORI!$B$5),0)</f>
        <v>0</v>
      </c>
      <c r="AI70" s="28">
        <f>IF(AI15&gt;0, (AI$30*VALORI!$B$4)+(AI$31*VALORI!$B$4)+(AI$32*VALORI!$B$3)+(AI$33*VALORI!$B$5),0)</f>
        <v>0</v>
      </c>
      <c r="AJ70" s="28">
        <f>IF(AJ15&gt;0, (AJ$30*VALORI!$B$4)+(AJ$31*VALORI!$B$4)+(AJ$32*VALORI!$B$3)+(AJ$33*VALORI!$B$5),0)</f>
        <v>0</v>
      </c>
      <c r="AK70" s="28">
        <f>IF(AK15&gt;0, (AK$30*VALORI!$B$4)+(AK$31*VALORI!$B$4)+(AK$32*VALORI!$B$3)+(AK$33*VALORI!$B$5),0)</f>
        <v>0</v>
      </c>
      <c r="AL70" s="28">
        <f>IF(AL15&gt;0, (AL$30*VALORI!$B$4)+(AL$31*VALORI!$B$4)+(AL$32*VALORI!$B$3)+(AL$33*VALORI!$B$5),0)</f>
        <v>0</v>
      </c>
      <c r="AM70" s="28">
        <f>IF(AM15&gt;0, (AM$30*VALORI!$B$4)+(AM$31*VALORI!$B$4)+(AM$32*VALORI!$B$3)+(AM$33*VALORI!$B$5),0)</f>
        <v>0</v>
      </c>
      <c r="AN70" s="28">
        <f>IF(AN15&gt;0, (AN$30*VALORI!$B$4)+(AN$31*VALORI!$B$4)+(AN$32*VALORI!$B$3)+(AN$33*VALORI!$B$5),0)</f>
        <v>0</v>
      </c>
      <c r="AO70" s="28">
        <f>IF(AO15&gt;0, (AO$30*VALORI!$B$4)+(AO$31*VALORI!$B$4)+(AO$32*VALORI!$B$3)+(AO$33*VALORI!$B$5),0)</f>
        <v>0</v>
      </c>
    </row>
    <row r="71" spans="23:41" ht="15.75" x14ac:dyDescent="0.25">
      <c r="W71" s="28">
        <f>IF(W25&gt;0, (W$30*VALORI!$B$4)+(W$31*VALORI!$B$4)+(W$32*VALORI!$B$3)+(W$33*VALORI!$B$5),0)</f>
        <v>0</v>
      </c>
      <c r="X71" s="28">
        <f>IF(X25&gt;0, (X$30*VALORI!$B$4)+(X$31*VALORI!$B$4)+(X$32*VALORI!$B$3)+(X$33*VALORI!$B$5),0)</f>
        <v>0</v>
      </c>
      <c r="Y71" s="28">
        <f>IF(Y25&gt;0, (Y$30*VALORI!$B$4)+(Y$31*VALORI!$B$4)+(Y$32*VALORI!$B$3)+(Y$33*VALORI!$B$5),0)</f>
        <v>0</v>
      </c>
      <c r="Z71" s="28">
        <f>IF(Z25&gt;0, (Z$30*VALORI!$B$4)+(Z$31*VALORI!$B$4)+(Z$32*VALORI!$B$3)+(Z$33*VALORI!$B$5),0)</f>
        <v>0</v>
      </c>
      <c r="AA71" s="28">
        <f>IF(AA25&gt;0, (AA$30*VALORI!$B$4)+(AA$31*VALORI!$B$4)+(AA$32*VALORI!$B$3)+(AA$33*VALORI!$B$5),0)</f>
        <v>0</v>
      </c>
      <c r="AB71" s="28">
        <f>IF(AB25&gt;0, (AB$30*VALORI!$B$4)+(AB$31*VALORI!$B$4)+(AB$32*VALORI!$B$3)+(AB$33*VALORI!$B$5),0)</f>
        <v>0</v>
      </c>
      <c r="AC71" s="28">
        <f>IF(AC25&gt;0, (AC$30*VALORI!$B$4)+(AC$31*VALORI!$B$4)+(AC$32*VALORI!$B$3)+(AC$33*VALORI!$B$5),0)</f>
        <v>0</v>
      </c>
      <c r="AD71" s="28">
        <f>IF(AD25&gt;0, (AD$30*VALORI!$B$4)+(AD$31*VALORI!$B$4)+(AD$32*VALORI!$B$3)+(AD$33*VALORI!$B$5),0)</f>
        <v>0</v>
      </c>
      <c r="AE71" s="28">
        <f>IF(AE25&gt;0, (AE$30*VALORI!$B$4)+(AE$31*VALORI!$B$4)+(AE$32*VALORI!$B$3)+(AE$33*VALORI!$B$5),0)</f>
        <v>0</v>
      </c>
      <c r="AF71" s="28">
        <f>IF(AF25&gt;0, (AF$30*VALORI!$B$4)+(AF$31*VALORI!$B$4)+(AF$32*VALORI!$B$3)+(AF$33*VALORI!$B$5),0)</f>
        <v>0</v>
      </c>
      <c r="AG71" s="28">
        <f>IF(AG25&gt;0, (AG$30*VALORI!$B$4)+(AG$31*VALORI!$B$4)+(AG$32*VALORI!$B$3)+(AG$33*VALORI!$B$5),0)</f>
        <v>0</v>
      </c>
      <c r="AH71" s="28">
        <f>IF(AH25&gt;0, (AH$30*VALORI!$B$4)+(AH$31*VALORI!$B$4)+(AH$32*VALORI!$B$3)+(AH$33*VALORI!$B$5),0)</f>
        <v>0</v>
      </c>
      <c r="AI71" s="28">
        <f>IF(AI25&gt;0, (AI$30*VALORI!$B$4)+(AI$31*VALORI!$B$4)+(AI$32*VALORI!$B$3)+(AI$33*VALORI!$B$5),0)</f>
        <v>0</v>
      </c>
      <c r="AJ71" s="28">
        <f>IF(AJ25&gt;0, (AJ$30*VALORI!$B$4)+(AJ$31*VALORI!$B$4)+(AJ$32*VALORI!$B$3)+(AJ$33*VALORI!$B$5),0)</f>
        <v>0</v>
      </c>
      <c r="AK71" s="28">
        <f>IF(AK25&gt;0, (AK$30*VALORI!$B$4)+(AK$31*VALORI!$B$4)+(AK$32*VALORI!$B$3)+(AK$33*VALORI!$B$5),0)</f>
        <v>0</v>
      </c>
      <c r="AL71" s="28">
        <f>IF(AL25&gt;0, (AL$30*VALORI!$B$4)+(AL$31*VALORI!$B$4)+(AL$32*VALORI!$B$3)+(AL$33*VALORI!$B$5),0)</f>
        <v>0</v>
      </c>
      <c r="AM71" s="28">
        <f>IF(AM25&gt;0, (AM$30*VALORI!$B$4)+(AM$31*VALORI!$B$4)+(AM$32*VALORI!$B$3)+(AM$33*VALORI!$B$5),0)</f>
        <v>0</v>
      </c>
      <c r="AN71" s="28">
        <f>IF(AN25&gt;0, (AN$30*VALORI!$B$4)+(AN$31*VALORI!$B$4)+(AN$32*VALORI!$B$3)+(AN$33*VALORI!$B$5),0)</f>
        <v>0</v>
      </c>
      <c r="AO71" s="28">
        <f>IF(AO25&gt;0, (AO$30*VALORI!$B$4)+(AO$31*VALORI!$B$4)+(AO$32*VALORI!$B$3)+(AO$33*VALORI!$B$5),0)</f>
        <v>0</v>
      </c>
    </row>
    <row r="72" spans="23:41" ht="15.75" x14ac:dyDescent="0.25">
      <c r="W72" s="28">
        <f>IF(W26&gt;0, (W$30*VALORI!$B$4)+(W$31*VALORI!$B$4)+(W$32*VALORI!$B$3)+(W$33*VALORI!$B$5),0)</f>
        <v>0</v>
      </c>
      <c r="X72" s="28">
        <f>IF(X26&gt;0, (X$30*VALORI!$B$4)+(X$31*VALORI!$B$4)+(X$32*VALORI!$B$3)+(X$33*VALORI!$B$5),0)</f>
        <v>0</v>
      </c>
      <c r="Y72" s="28">
        <f>IF(Y26&gt;0, (Y$30*VALORI!$B$4)+(Y$31*VALORI!$B$4)+(Y$32*VALORI!$B$3)+(Y$33*VALORI!$B$5),0)</f>
        <v>0</v>
      </c>
      <c r="Z72" s="28">
        <f>IF(Z26&gt;0, (Z$30*VALORI!$B$4)+(Z$31*VALORI!$B$4)+(Z$32*VALORI!$B$3)+(Z$33*VALORI!$B$5),0)</f>
        <v>0</v>
      </c>
      <c r="AA72" s="28">
        <f>IF(AA26&gt;0, (AA$30*VALORI!$B$4)+(AA$31*VALORI!$B$4)+(AA$32*VALORI!$B$3)+(AA$33*VALORI!$B$5),0)</f>
        <v>0</v>
      </c>
      <c r="AB72" s="28">
        <f>IF(AB26&gt;0, (AB$30*VALORI!$B$4)+(AB$31*VALORI!$B$4)+(AB$32*VALORI!$B$3)+(AB$33*VALORI!$B$5),0)</f>
        <v>0</v>
      </c>
      <c r="AC72" s="28">
        <f>IF(AC26&gt;0, (AC$30*VALORI!$B$4)+(AC$31*VALORI!$B$4)+(AC$32*VALORI!$B$3)+(AC$33*VALORI!$B$5),0)</f>
        <v>0</v>
      </c>
      <c r="AD72" s="28">
        <f>IF(AD26&gt;0, (AD$30*VALORI!$B$4)+(AD$31*VALORI!$B$4)+(AD$32*VALORI!$B$3)+(AD$33*VALORI!$B$5),0)</f>
        <v>0</v>
      </c>
      <c r="AE72" s="28">
        <f>IF(AE26&gt;0, (AE$30*VALORI!$B$4)+(AE$31*VALORI!$B$4)+(AE$32*VALORI!$B$3)+(AE$33*VALORI!$B$5),0)</f>
        <v>0</v>
      </c>
      <c r="AF72" s="28">
        <f>IF(AF26&gt;0, (AF$30*VALORI!$B$4)+(AF$31*VALORI!$B$4)+(AF$32*VALORI!$B$3)+(AF$33*VALORI!$B$5),0)</f>
        <v>0</v>
      </c>
      <c r="AG72" s="28">
        <f>IF(AG26&gt;0, (AG$30*VALORI!$B$4)+(AG$31*VALORI!$B$4)+(AG$32*VALORI!$B$3)+(AG$33*VALORI!$B$5),0)</f>
        <v>0</v>
      </c>
      <c r="AH72" s="28">
        <f>IF(AH26&gt;0, (AH$30*VALORI!$B$4)+(AH$31*VALORI!$B$4)+(AH$32*VALORI!$B$3)+(AH$33*VALORI!$B$5),0)</f>
        <v>0</v>
      </c>
      <c r="AI72" s="28">
        <f>IF(AI26&gt;0, (AI$30*VALORI!$B$4)+(AI$31*VALORI!$B$4)+(AI$32*VALORI!$B$3)+(AI$33*VALORI!$B$5),0)</f>
        <v>0</v>
      </c>
      <c r="AJ72" s="28">
        <f>IF(AJ26&gt;0, (AJ$30*VALORI!$B$4)+(AJ$31*VALORI!$B$4)+(AJ$32*VALORI!$B$3)+(AJ$33*VALORI!$B$5),0)</f>
        <v>0</v>
      </c>
      <c r="AK72" s="28">
        <f>IF(AK26&gt;0, (AK$30*VALORI!$B$4)+(AK$31*VALORI!$B$4)+(AK$32*VALORI!$B$3)+(AK$33*VALORI!$B$5),0)</f>
        <v>0</v>
      </c>
      <c r="AL72" s="28">
        <f>IF(AL26&gt;0, (AL$30*VALORI!$B$4)+(AL$31*VALORI!$B$4)+(AL$32*VALORI!$B$3)+(AL$33*VALORI!$B$5),0)</f>
        <v>0</v>
      </c>
      <c r="AM72" s="28">
        <f>IF(AM26&gt;0, (AM$30*VALORI!$B$4)+(AM$31*VALORI!$B$4)+(AM$32*VALORI!$B$3)+(AM$33*VALORI!$B$5),0)</f>
        <v>0</v>
      </c>
      <c r="AN72" s="28">
        <f>IF(AN26&gt;0, (AN$30*VALORI!$B$4)+(AN$31*VALORI!$B$4)+(AN$32*VALORI!$B$3)+(AN$33*VALORI!$B$5),0)</f>
        <v>0</v>
      </c>
      <c r="AO72" s="28">
        <f>IF(AO26&gt;0, (AO$30*VALORI!$B$4)+(AO$31*VALORI!$B$4)+(AO$32*VALORI!$B$3)+(AO$33*VALORI!$B$5),0)</f>
        <v>0</v>
      </c>
    </row>
    <row r="73" spans="23:41" ht="15.75" x14ac:dyDescent="0.25">
      <c r="W73" s="28">
        <f>IF(W27&gt;0, (W$30*VALORI!$B$4)+(W$31*VALORI!$B$4)+(W$32*VALORI!$B$3)+(W$33*VALORI!$B$5),0)</f>
        <v>0</v>
      </c>
      <c r="X73" s="28">
        <f>IF(X27&gt;0, (X$30*VALORI!$B$4)+(X$31*VALORI!$B$4)+(X$32*VALORI!$B$3)+(X$33*VALORI!$B$5),0)</f>
        <v>0</v>
      </c>
      <c r="Y73" s="28">
        <f>IF(Y27&gt;0, (Y$30*VALORI!$B$4)+(Y$31*VALORI!$B$4)+(Y$32*VALORI!$B$3)+(Y$33*VALORI!$B$5),0)</f>
        <v>0</v>
      </c>
      <c r="Z73" s="28">
        <f>IF(Z27&gt;0, (Z$30*VALORI!$B$4)+(Z$31*VALORI!$B$4)+(Z$32*VALORI!$B$3)+(Z$33*VALORI!$B$5),0)</f>
        <v>0</v>
      </c>
      <c r="AA73" s="28">
        <f>IF(AA27&gt;0, (AA$30*VALORI!$B$4)+(AA$31*VALORI!$B$4)+(AA$32*VALORI!$B$3)+(AA$33*VALORI!$B$5),0)</f>
        <v>0</v>
      </c>
      <c r="AB73" s="28">
        <f>IF(AB27&gt;0, (AB$30*VALORI!$B$4)+(AB$31*VALORI!$B$4)+(AB$32*VALORI!$B$3)+(AB$33*VALORI!$B$5),0)</f>
        <v>0</v>
      </c>
      <c r="AC73" s="28">
        <f>IF(AC27&gt;0, (AC$30*VALORI!$B$4)+(AC$31*VALORI!$B$4)+(AC$32*VALORI!$B$3)+(AC$33*VALORI!$B$5),0)</f>
        <v>0</v>
      </c>
      <c r="AD73" s="28">
        <f>IF(AD27&gt;0, (AD$30*VALORI!$B$4)+(AD$31*VALORI!$B$4)+(AD$32*VALORI!$B$3)+(AD$33*VALORI!$B$5),0)</f>
        <v>0</v>
      </c>
      <c r="AE73" s="28">
        <f>IF(AE27&gt;0, (AE$30*VALORI!$B$4)+(AE$31*VALORI!$B$4)+(AE$32*VALORI!$B$3)+(AE$33*VALORI!$B$5),0)</f>
        <v>0</v>
      </c>
      <c r="AF73" s="28">
        <f>IF(AF27&gt;0, (AF$30*VALORI!$B$4)+(AF$31*VALORI!$B$4)+(AF$32*VALORI!$B$3)+(AF$33*VALORI!$B$5),0)</f>
        <v>0</v>
      </c>
      <c r="AG73" s="28">
        <f>IF(AG27&gt;0, (AG$30*VALORI!$B$4)+(AG$31*VALORI!$B$4)+(AG$32*VALORI!$B$3)+(AG$33*VALORI!$B$5),0)</f>
        <v>0</v>
      </c>
      <c r="AH73" s="28">
        <f>IF(AH27&gt;0, (AH$30*VALORI!$B$4)+(AH$31*VALORI!$B$4)+(AH$32*VALORI!$B$3)+(AH$33*VALORI!$B$5),0)</f>
        <v>0</v>
      </c>
      <c r="AI73" s="28">
        <f>IF(AI27&gt;0, (AI$30*VALORI!$B$4)+(AI$31*VALORI!$B$4)+(AI$32*VALORI!$B$3)+(AI$33*VALORI!$B$5),0)</f>
        <v>0</v>
      </c>
      <c r="AJ73" s="28">
        <f>IF(AJ27&gt;0, (AJ$30*VALORI!$B$4)+(AJ$31*VALORI!$B$4)+(AJ$32*VALORI!$B$3)+(AJ$33*VALORI!$B$5),0)</f>
        <v>0</v>
      </c>
      <c r="AK73" s="28">
        <f>IF(AK27&gt;0, (AK$30*VALORI!$B$4)+(AK$31*VALORI!$B$4)+(AK$32*VALORI!$B$3)+(AK$33*VALORI!$B$5),0)</f>
        <v>0</v>
      </c>
      <c r="AL73" s="28">
        <f>IF(AL27&gt;0, (AL$30*VALORI!$B$4)+(AL$31*VALORI!$B$4)+(AL$32*VALORI!$B$3)+(AL$33*VALORI!$B$5),0)</f>
        <v>0</v>
      </c>
      <c r="AM73" s="28">
        <f>IF(AM27&gt;0, (AM$30*VALORI!$B$4)+(AM$31*VALORI!$B$4)+(AM$32*VALORI!$B$3)+(AM$33*VALORI!$B$5),0)</f>
        <v>0</v>
      </c>
      <c r="AN73" s="28">
        <f>IF(AN27&gt;0, (AN$30*VALORI!$B$4)+(AN$31*VALORI!$B$4)+(AN$32*VALORI!$B$3)+(AN$33*VALORI!$B$5),0)</f>
        <v>0</v>
      </c>
      <c r="AO73" s="28">
        <f>IF(AO27&gt;0, (AO$30*VALORI!$B$4)+(AO$31*VALORI!$B$4)+(AO$32*VALORI!$B$3)+(AO$33*VALORI!$B$5),0)</f>
        <v>0</v>
      </c>
    </row>
    <row r="74" spans="23:41" ht="15.75" x14ac:dyDescent="0.25">
      <c r="W74" s="28">
        <f>IF(W28&gt;0, (W$30*VALORI!$B$4)+(W$31*VALORI!$B$4)+(W$32*VALORI!$B$3)+(W$33*VALORI!$B$5),0)</f>
        <v>0</v>
      </c>
      <c r="X74" s="28">
        <f>IF(X28&gt;0, (X$30*VALORI!$B$4)+(X$31*VALORI!$B$4)+(X$32*VALORI!$B$3)+(X$33*VALORI!$B$5),0)</f>
        <v>0</v>
      </c>
      <c r="Y74" s="28">
        <f>IF(Y28&gt;0, (Y$30*VALORI!$B$4)+(Y$31*VALORI!$B$4)+(Y$32*VALORI!$B$3)+(Y$33*VALORI!$B$5),0)</f>
        <v>0</v>
      </c>
      <c r="Z74" s="28">
        <f>IF(Z28&gt;0, (Z$30*VALORI!$B$4)+(Z$31*VALORI!$B$4)+(Z$32*VALORI!$B$3)+(Z$33*VALORI!$B$5),0)</f>
        <v>0</v>
      </c>
      <c r="AA74" s="28">
        <f>IF(AA28&gt;0, (AA$30*VALORI!$B$4)+(AA$31*VALORI!$B$4)+(AA$32*VALORI!$B$3)+(AA$33*VALORI!$B$5),0)</f>
        <v>0</v>
      </c>
      <c r="AB74" s="28">
        <f>IF(AB28&gt;0, (AB$30*VALORI!$B$4)+(AB$31*VALORI!$B$4)+(AB$32*VALORI!$B$3)+(AB$33*VALORI!$B$5),0)</f>
        <v>0</v>
      </c>
      <c r="AC74" s="28">
        <f>IF(AC28&gt;0, (AC$30*VALORI!$B$4)+(AC$31*VALORI!$B$4)+(AC$32*VALORI!$B$3)+(AC$33*VALORI!$B$5),0)</f>
        <v>0</v>
      </c>
      <c r="AD74" s="28">
        <f>IF(AD28&gt;0, (AD$30*VALORI!$B$4)+(AD$31*VALORI!$B$4)+(AD$32*VALORI!$B$3)+(AD$33*VALORI!$B$5),0)</f>
        <v>0</v>
      </c>
      <c r="AE74" s="28">
        <f>IF(AE28&gt;0, (AE$30*VALORI!$B$4)+(AE$31*VALORI!$B$4)+(AE$32*VALORI!$B$3)+(AE$33*VALORI!$B$5),0)</f>
        <v>0</v>
      </c>
      <c r="AF74" s="28">
        <f>IF(AF28&gt;0, (AF$30*VALORI!$B$4)+(AF$31*VALORI!$B$4)+(AF$32*VALORI!$B$3)+(AF$33*VALORI!$B$5),0)</f>
        <v>0</v>
      </c>
      <c r="AG74" s="28">
        <f>IF(AG28&gt;0, (AG$30*VALORI!$B$4)+(AG$31*VALORI!$B$4)+(AG$32*VALORI!$B$3)+(AG$33*VALORI!$B$5),0)</f>
        <v>0</v>
      </c>
      <c r="AH74" s="28">
        <f>IF(AH28&gt;0, (AH$30*VALORI!$B$4)+(AH$31*VALORI!$B$4)+(AH$32*VALORI!$B$3)+(AH$33*VALORI!$B$5),0)</f>
        <v>0</v>
      </c>
      <c r="AI74" s="28">
        <f>IF(AI28&gt;0, (AI$30*VALORI!$B$4)+(AI$31*VALORI!$B$4)+(AI$32*VALORI!$B$3)+(AI$33*VALORI!$B$5),0)</f>
        <v>0</v>
      </c>
      <c r="AJ74" s="28">
        <f>IF(AJ28&gt;0, (AJ$30*VALORI!$B$4)+(AJ$31*VALORI!$B$4)+(AJ$32*VALORI!$B$3)+(AJ$33*VALORI!$B$5),0)</f>
        <v>0</v>
      </c>
      <c r="AK74" s="28">
        <f>IF(AK28&gt;0, (AK$30*VALORI!$B$4)+(AK$31*VALORI!$B$4)+(AK$32*VALORI!$B$3)+(AK$33*VALORI!$B$5),0)</f>
        <v>0</v>
      </c>
      <c r="AL74" s="28">
        <f>IF(AL28&gt;0, (AL$30*VALORI!$B$4)+(AL$31*VALORI!$B$4)+(AL$32*VALORI!$B$3)+(AL$33*VALORI!$B$5),0)</f>
        <v>0</v>
      </c>
      <c r="AM74" s="28">
        <f>IF(AM28&gt;0, (AM$30*VALORI!$B$4)+(AM$31*VALORI!$B$4)+(AM$32*VALORI!$B$3)+(AM$33*VALORI!$B$5),0)</f>
        <v>0</v>
      </c>
      <c r="AN74" s="28">
        <f>IF(AN28&gt;0, (AN$30*VALORI!$B$4)+(AN$31*VALORI!$B$4)+(AN$32*VALORI!$B$3)+(AN$33*VALORI!$B$5),0)</f>
        <v>0</v>
      </c>
      <c r="AO74" s="28">
        <f>IF(AO28&gt;0, (AO$30*VALORI!$B$4)+(AO$31*VALORI!$B$4)+(AO$32*VALORI!$B$3)+(AO$33*VALORI!$B$5),0)</f>
        <v>0</v>
      </c>
    </row>
  </sheetData>
  <sheetProtection algorithmName="SHA-512" hashValue="5MI2B3fj768MuRnDc7V3BsWEYGcpZdeNUA+szYqOIlrnr1977a1Xyvn9Kvzv+f5du2gFCmy+1pVrg+ohJRJG3g==" saltValue="QD2ZGEOQL8WKyxHuisOVvw==" spinCount="100000" sheet="1" objects="1" scenarios="1"/>
  <mergeCells count="2">
    <mergeCell ref="A1:U1"/>
    <mergeCell ref="O30:P33"/>
  </mergeCells>
  <pageMargins left="0.23622047244094491" right="0.23622047244094491" top="0.74803149606299213" bottom="0.74803149606299213" header="0.31496062992125984" footer="0.31496062992125984"/>
  <pageSetup paperSize="9" scale="60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74"/>
  <sheetViews>
    <sheetView zoomScale="70" zoomScaleNormal="70" workbookViewId="0">
      <selection activeCell="O5" sqref="O5"/>
    </sheetView>
  </sheetViews>
  <sheetFormatPr defaultColWidth="9.28515625" defaultRowHeight="15" x14ac:dyDescent="0.25"/>
  <cols>
    <col min="1" max="1" width="16.7109375" style="2" customWidth="1"/>
    <col min="2" max="2" width="23.28515625" style="2" customWidth="1"/>
    <col min="3" max="3" width="20.28515625" style="2" customWidth="1"/>
    <col min="4" max="4" width="20.5703125" style="2" customWidth="1"/>
    <col min="5" max="5" width="18" style="2" customWidth="1"/>
    <col min="6" max="6" width="24.42578125" style="2" bestFit="1" customWidth="1"/>
    <col min="7" max="7" width="18.28515625" style="2" customWidth="1"/>
    <col min="8" max="8" width="13.42578125" style="2" customWidth="1"/>
    <col min="9" max="9" width="5.7109375" style="2" customWidth="1"/>
    <col min="10" max="14" width="5.7109375" customWidth="1"/>
    <col min="15" max="16" width="14.42578125" bestFit="1" customWidth="1"/>
    <col min="17" max="18" width="13" bestFit="1" customWidth="1"/>
    <col min="19" max="19" width="25.42578125" customWidth="1"/>
    <col min="20" max="20" width="14" bestFit="1" customWidth="1"/>
    <col min="21" max="21" width="13.5703125" customWidth="1"/>
    <col min="22" max="22" width="9.140625"/>
    <col min="23" max="24" width="12.140625" customWidth="1"/>
    <col min="25" max="26" width="12.140625" bestFit="1" customWidth="1"/>
    <col min="27" max="27" width="12.140625" customWidth="1"/>
    <col min="28" max="28" width="11.5703125" customWidth="1"/>
    <col min="29" max="33" width="12.140625" bestFit="1" customWidth="1"/>
    <col min="34" max="34" width="12.140625" customWidth="1"/>
    <col min="35" max="35" width="12.42578125" customWidth="1"/>
    <col min="36" max="38" width="12.140625" customWidth="1"/>
    <col min="39" max="39" width="11.5703125" customWidth="1"/>
    <col min="40" max="40" width="1.5703125" customWidth="1"/>
    <col min="41" max="44" width="11.5703125" customWidth="1"/>
    <col min="45" max="45" width="1.5703125" customWidth="1"/>
    <col min="46" max="47" width="11.5703125" customWidth="1"/>
  </cols>
  <sheetData>
    <row r="1" spans="1:47" ht="21.75" thickBot="1" x14ac:dyDescent="0.35">
      <c r="A1" s="215" t="s">
        <v>179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7"/>
      <c r="W1" s="51" t="s">
        <v>13</v>
      </c>
      <c r="X1" s="51" t="s">
        <v>13</v>
      </c>
      <c r="Y1" s="38" t="s">
        <v>13</v>
      </c>
      <c r="Z1" s="38" t="s">
        <v>13</v>
      </c>
      <c r="AA1" s="50" t="s">
        <v>13</v>
      </c>
      <c r="AB1" s="50"/>
      <c r="AC1" s="45" t="s">
        <v>13</v>
      </c>
      <c r="AD1" s="44" t="s">
        <v>13</v>
      </c>
      <c r="AE1" s="44" t="s">
        <v>13</v>
      </c>
      <c r="AF1" s="44" t="s">
        <v>13</v>
      </c>
      <c r="AG1" s="44" t="s">
        <v>13</v>
      </c>
      <c r="AH1" s="45" t="s">
        <v>13</v>
      </c>
      <c r="AI1" s="45" t="s">
        <v>13</v>
      </c>
      <c r="AJ1" s="46" t="s">
        <v>13</v>
      </c>
      <c r="AK1" s="46" t="s">
        <v>13</v>
      </c>
      <c r="AL1" s="46" t="s">
        <v>13</v>
      </c>
      <c r="AM1" s="37" t="s">
        <v>13</v>
      </c>
      <c r="AN1" s="47"/>
      <c r="AO1" s="42" t="s">
        <v>13</v>
      </c>
      <c r="AP1" s="42" t="s">
        <v>13</v>
      </c>
      <c r="AQ1" s="42" t="s">
        <v>13</v>
      </c>
      <c r="AR1" s="42" t="s">
        <v>13</v>
      </c>
      <c r="AS1" s="47"/>
      <c r="AT1" s="43" t="s">
        <v>13</v>
      </c>
      <c r="AU1" s="43" t="s">
        <v>13</v>
      </c>
    </row>
    <row r="2" spans="1:47" ht="200.25" customHeight="1" x14ac:dyDescent="0.25">
      <c r="A2" s="6" t="s">
        <v>14</v>
      </c>
      <c r="B2" s="6" t="s">
        <v>15</v>
      </c>
      <c r="C2" s="6" t="s">
        <v>157</v>
      </c>
      <c r="D2" s="6"/>
      <c r="E2" s="6"/>
      <c r="F2" s="6" t="s">
        <v>19</v>
      </c>
      <c r="G2" s="6"/>
      <c r="H2" s="6"/>
      <c r="I2" s="14" t="s">
        <v>21</v>
      </c>
      <c r="J2" s="14" t="s">
        <v>22</v>
      </c>
      <c r="K2" s="14" t="s">
        <v>23</v>
      </c>
      <c r="L2" s="14" t="s">
        <v>24</v>
      </c>
      <c r="M2" s="14" t="s">
        <v>25</v>
      </c>
      <c r="N2" s="14" t="s">
        <v>26</v>
      </c>
      <c r="O2" s="18" t="s">
        <v>27</v>
      </c>
      <c r="P2" s="15" t="s">
        <v>28</v>
      </c>
      <c r="Q2" s="20" t="s">
        <v>29</v>
      </c>
      <c r="R2" s="22" t="s">
        <v>30</v>
      </c>
      <c r="S2" s="21" t="s">
        <v>301</v>
      </c>
      <c r="T2" s="31" t="s">
        <v>31</v>
      </c>
      <c r="U2" s="31" t="s">
        <v>32</v>
      </c>
      <c r="W2" s="36" t="s">
        <v>33</v>
      </c>
      <c r="X2" s="36" t="s">
        <v>34</v>
      </c>
      <c r="Y2" s="36" t="s">
        <v>35</v>
      </c>
      <c r="Z2" s="36" t="s">
        <v>36</v>
      </c>
      <c r="AA2" s="36" t="s">
        <v>37</v>
      </c>
      <c r="AB2" s="36" t="s">
        <v>318</v>
      </c>
      <c r="AC2" s="36" t="s">
        <v>38</v>
      </c>
      <c r="AD2" s="36" t="s">
        <v>39</v>
      </c>
      <c r="AE2" s="36" t="s">
        <v>40</v>
      </c>
      <c r="AF2" s="36" t="s">
        <v>41</v>
      </c>
      <c r="AG2" s="36" t="s">
        <v>42</v>
      </c>
      <c r="AH2" s="36" t="s">
        <v>43</v>
      </c>
      <c r="AI2" s="36" t="s">
        <v>326</v>
      </c>
      <c r="AJ2" s="36"/>
      <c r="AK2" s="36"/>
      <c r="AL2" s="36"/>
      <c r="AM2" s="86" t="s">
        <v>47</v>
      </c>
      <c r="AN2" s="48"/>
      <c r="AO2" s="36" t="s">
        <v>48</v>
      </c>
      <c r="AP2" s="36" t="s">
        <v>49</v>
      </c>
      <c r="AQ2" s="36" t="s">
        <v>50</v>
      </c>
      <c r="AR2" s="36" t="s">
        <v>51</v>
      </c>
      <c r="AS2" s="48"/>
      <c r="AT2" s="36" t="s">
        <v>52</v>
      </c>
      <c r="AU2" s="36" t="s">
        <v>53</v>
      </c>
    </row>
    <row r="3" spans="1:47" ht="20.25" customHeight="1" x14ac:dyDescent="0.35">
      <c r="A3" s="11">
        <v>500</v>
      </c>
      <c r="B3" s="19" t="s">
        <v>54</v>
      </c>
      <c r="C3" s="19" t="s">
        <v>54</v>
      </c>
      <c r="D3" s="19" t="s">
        <v>54</v>
      </c>
      <c r="E3" s="19"/>
      <c r="F3" s="19" t="s">
        <v>54</v>
      </c>
      <c r="G3" s="19" t="s">
        <v>54</v>
      </c>
      <c r="H3" s="19"/>
      <c r="I3" s="40">
        <v>0</v>
      </c>
      <c r="J3" s="41">
        <v>0</v>
      </c>
      <c r="K3" s="41">
        <v>0</v>
      </c>
      <c r="L3" s="41">
        <v>0</v>
      </c>
      <c r="M3" s="41">
        <v>0</v>
      </c>
      <c r="N3" s="41">
        <v>0</v>
      </c>
      <c r="O3" s="9">
        <f>(VALORI!B$3 * 'PASTA LUNGA - ITRG270'!I3) + (VALORI!B$4 * 'PASTA LUNGA - ITRG270'!J3) + (VALORI!B$4 * 'PASTA LUNGA - ITRG270'!K3) + (VALORI!B$5 * 'PASTA LUNGA - ITRG270'!L3) + (VALORI!B$6 * 'PASTA LUNGA - ITRG270'!M3) + (VALORI!B$7 * 'PASTA LUNGA - ITRG270'!N3)</f>
        <v>0</v>
      </c>
      <c r="P3" s="13">
        <f>(O3*25%)+O3</f>
        <v>0</v>
      </c>
      <c r="Q3" s="25">
        <v>0</v>
      </c>
      <c r="R3" s="26">
        <f t="shared" ref="R3:R15" si="0">(Q3*15%)+Q3</f>
        <v>0</v>
      </c>
      <c r="S3" s="27"/>
      <c r="T3" s="28">
        <f t="shared" ref="T3:T15" si="1">O3+Q3</f>
        <v>0</v>
      </c>
      <c r="U3" s="28">
        <f t="shared" ref="U3:U15" si="2">P3+R3</f>
        <v>0</v>
      </c>
      <c r="V3" s="35" t="s">
        <v>55</v>
      </c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82"/>
      <c r="AN3" s="49"/>
      <c r="AO3" s="28"/>
      <c r="AP3" s="28"/>
      <c r="AQ3" s="28"/>
      <c r="AR3" s="28"/>
      <c r="AS3" s="49"/>
      <c r="AT3" s="28"/>
      <c r="AU3" s="28"/>
    </row>
    <row r="4" spans="1:47" ht="20.25" customHeight="1" x14ac:dyDescent="0.35">
      <c r="A4" s="11">
        <v>750</v>
      </c>
      <c r="B4" s="19" t="s">
        <v>54</v>
      </c>
      <c r="C4" s="19" t="s">
        <v>54</v>
      </c>
      <c r="D4" s="19" t="s">
        <v>54</v>
      </c>
      <c r="E4" s="19" t="s">
        <v>54</v>
      </c>
      <c r="F4" s="19" t="s">
        <v>54</v>
      </c>
      <c r="G4" s="19" t="s">
        <v>54</v>
      </c>
      <c r="H4" s="19"/>
      <c r="I4" s="41">
        <v>0</v>
      </c>
      <c r="J4" s="41">
        <v>0</v>
      </c>
      <c r="K4" s="41">
        <v>0</v>
      </c>
      <c r="L4" s="41">
        <v>0</v>
      </c>
      <c r="M4" s="41">
        <v>0</v>
      </c>
      <c r="N4" s="41">
        <v>0</v>
      </c>
      <c r="O4" s="9">
        <f>(VALORI!B$3 * 'PASTA LUNGA - ITRG270'!I4) + (VALORI!B$4 * 'PASTA LUNGA - ITRG270'!J4) + (VALORI!B$4 * 'PASTA LUNGA - ITRG270'!K4) + (VALORI!B$5 * 'PASTA LUNGA - ITRG270'!L4) + (VALORI!B$6 * 'PASTA LUNGA - ITRG270'!M4) + (VALORI!B$7 * 'PASTA LUNGA - ITRG270'!N4)</f>
        <v>0</v>
      </c>
      <c r="P4" s="13">
        <f>(O4*25%)+O4</f>
        <v>0</v>
      </c>
      <c r="Q4" s="25">
        <v>0</v>
      </c>
      <c r="R4" s="26">
        <f t="shared" si="0"/>
        <v>0</v>
      </c>
      <c r="S4" s="27"/>
      <c r="T4" s="28">
        <f t="shared" si="1"/>
        <v>0</v>
      </c>
      <c r="U4" s="28">
        <f t="shared" si="2"/>
        <v>0</v>
      </c>
      <c r="V4" s="35" t="s">
        <v>55</v>
      </c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82"/>
      <c r="AN4" s="49"/>
      <c r="AO4" s="28"/>
      <c r="AP4" s="28"/>
      <c r="AQ4" s="28"/>
      <c r="AR4" s="28"/>
      <c r="AS4" s="49"/>
      <c r="AT4" s="28"/>
      <c r="AU4" s="28"/>
    </row>
    <row r="5" spans="1:47" ht="20.25" customHeight="1" x14ac:dyDescent="0.35">
      <c r="A5" s="11">
        <v>1000</v>
      </c>
      <c r="B5" s="19" t="s">
        <v>180</v>
      </c>
      <c r="C5" s="19" t="s">
        <v>181</v>
      </c>
      <c r="D5" s="19" t="s">
        <v>54</v>
      </c>
      <c r="E5" s="19" t="s">
        <v>54</v>
      </c>
      <c r="F5" s="19" t="s">
        <v>182</v>
      </c>
      <c r="G5" s="19" t="s">
        <v>54</v>
      </c>
      <c r="H5" s="19"/>
      <c r="I5" s="41">
        <v>70</v>
      </c>
      <c r="J5" s="41">
        <v>40</v>
      </c>
      <c r="K5" s="3">
        <v>40</v>
      </c>
      <c r="L5" s="3">
        <v>400</v>
      </c>
      <c r="M5" s="3">
        <v>35</v>
      </c>
      <c r="N5" s="41">
        <v>80</v>
      </c>
      <c r="O5" s="9">
        <f>(VALORI!B$3 * 'PASTA LUNGA - ITRG270'!I5) + (VALORI!B$4 * 'PASTA LUNGA - ITRG270'!J5) + (VALORI!B$4 * 'PASTA LUNGA - ITRG270'!K5) + (VALORI!B$5 * 'PASTA LUNGA - ITRG270'!L5) + (VALORI!B$6 * 'PASTA LUNGA - ITRG270'!M5) + (VALORI!B$7 * 'PASTA LUNGA - ITRG270'!N5)</f>
        <v>21285</v>
      </c>
      <c r="P5" s="13">
        <f t="shared" ref="P5:P15" si="3">(O5*25%)+O5</f>
        <v>26606.25</v>
      </c>
      <c r="Q5" s="25">
        <v>72996.923999999999</v>
      </c>
      <c r="R5" s="26">
        <f t="shared" si="0"/>
        <v>83946.462599999999</v>
      </c>
      <c r="S5" s="27" t="s">
        <v>183</v>
      </c>
      <c r="T5" s="28">
        <f t="shared" si="1"/>
        <v>94281.923999999999</v>
      </c>
      <c r="U5" s="28">
        <f t="shared" si="2"/>
        <v>110552.7126</v>
      </c>
      <c r="V5" s="35" t="s">
        <v>55</v>
      </c>
      <c r="W5" s="28">
        <f t="shared" ref="W5:W13" si="4">(Q5*6%)</f>
        <v>4379.8154399999994</v>
      </c>
      <c r="X5" s="28">
        <f t="shared" ref="X5:X15" si="5">(Q5*20%)</f>
        <v>14599.3848</v>
      </c>
      <c r="Y5" s="28">
        <v>6000</v>
      </c>
      <c r="Z5" s="28">
        <f t="shared" ref="Z5:Z15" si="6">(Y5*65%)+Y5</f>
        <v>9900</v>
      </c>
      <c r="AA5" s="28">
        <v>3800</v>
      </c>
      <c r="AB5" s="28">
        <v>5500</v>
      </c>
      <c r="AC5" s="28">
        <v>1300</v>
      </c>
      <c r="AD5" s="28">
        <v>8000</v>
      </c>
      <c r="AE5" s="28">
        <v>2200</v>
      </c>
      <c r="AF5" s="28">
        <v>2800</v>
      </c>
      <c r="AG5" s="28">
        <v>1100</v>
      </c>
      <c r="AH5" s="28">
        <v>2000</v>
      </c>
      <c r="AI5" s="28">
        <v>2100</v>
      </c>
      <c r="AJ5" s="28"/>
      <c r="AK5" s="28"/>
      <c r="AL5" s="28"/>
      <c r="AM5" s="82">
        <v>8000</v>
      </c>
      <c r="AN5" s="49"/>
      <c r="AO5" s="28">
        <v>400</v>
      </c>
      <c r="AP5" s="28">
        <v>8000</v>
      </c>
      <c r="AQ5" s="28">
        <v>1100</v>
      </c>
      <c r="AR5" s="28">
        <v>2880</v>
      </c>
      <c r="AS5" s="49"/>
      <c r="AT5" s="28">
        <v>36650</v>
      </c>
      <c r="AU5" s="28">
        <v>29290</v>
      </c>
    </row>
    <row r="6" spans="1:47" ht="20.25" customHeight="1" x14ac:dyDescent="0.35">
      <c r="A6" s="11">
        <v>1600</v>
      </c>
      <c r="B6" s="19" t="s">
        <v>184</v>
      </c>
      <c r="C6" s="19" t="s">
        <v>185</v>
      </c>
      <c r="D6" s="19" t="s">
        <v>54</v>
      </c>
      <c r="E6" s="19" t="s">
        <v>54</v>
      </c>
      <c r="F6" s="19" t="s">
        <v>186</v>
      </c>
      <c r="G6" s="19" t="s">
        <v>54</v>
      </c>
      <c r="H6" s="19"/>
      <c r="I6" s="41">
        <v>70</v>
      </c>
      <c r="J6" s="41">
        <v>40</v>
      </c>
      <c r="K6" s="3">
        <v>40</v>
      </c>
      <c r="L6" s="3">
        <v>430</v>
      </c>
      <c r="M6" s="3">
        <v>40</v>
      </c>
      <c r="N6" s="41">
        <v>80</v>
      </c>
      <c r="O6" s="9">
        <f>(VALORI!B$3 * 'PASTA LUNGA - ITRG270'!I6) + (VALORI!B$4 * 'PASTA LUNGA - ITRG270'!J6) + (VALORI!B$4 * 'PASTA LUNGA - ITRG270'!K6) + (VALORI!B$5 * 'PASTA LUNGA - ITRG270'!L6) + (VALORI!B$6 * 'PASTA LUNGA - ITRG270'!M6) + (VALORI!B$7 * 'PASTA LUNGA - ITRG270'!N6)</f>
        <v>22300</v>
      </c>
      <c r="P6" s="13">
        <f t="shared" si="3"/>
        <v>27875</v>
      </c>
      <c r="Q6" s="25">
        <v>75471.395999999993</v>
      </c>
      <c r="R6" s="26">
        <f t="shared" si="0"/>
        <v>86792.105399999986</v>
      </c>
      <c r="S6" s="27" t="s">
        <v>187</v>
      </c>
      <c r="T6" s="28">
        <f t="shared" si="1"/>
        <v>97771.395999999993</v>
      </c>
      <c r="U6" s="28">
        <f t="shared" si="2"/>
        <v>114667.10539999999</v>
      </c>
      <c r="V6" s="35" t="s">
        <v>55</v>
      </c>
      <c r="W6" s="28">
        <f t="shared" si="4"/>
        <v>4528.2837599999993</v>
      </c>
      <c r="X6" s="28">
        <f t="shared" si="5"/>
        <v>15094.279199999999</v>
      </c>
      <c r="Y6" s="28">
        <v>8000</v>
      </c>
      <c r="Z6" s="28">
        <f t="shared" si="6"/>
        <v>13200</v>
      </c>
      <c r="AA6" s="28">
        <v>3800</v>
      </c>
      <c r="AB6" s="28">
        <v>5500</v>
      </c>
      <c r="AC6" s="28">
        <v>1300</v>
      </c>
      <c r="AD6" s="28">
        <v>8000</v>
      </c>
      <c r="AE6" s="28">
        <v>2200</v>
      </c>
      <c r="AF6" s="28">
        <v>2800</v>
      </c>
      <c r="AG6" s="28">
        <v>1100</v>
      </c>
      <c r="AH6" s="28">
        <v>2000</v>
      </c>
      <c r="AI6" s="28">
        <v>2100</v>
      </c>
      <c r="AJ6" s="28"/>
      <c r="AK6" s="28"/>
      <c r="AL6" s="28"/>
      <c r="AM6" s="82">
        <v>8000</v>
      </c>
      <c r="AN6" s="49"/>
      <c r="AO6" s="28">
        <v>400</v>
      </c>
      <c r="AP6" s="28">
        <v>8000</v>
      </c>
      <c r="AQ6" s="28">
        <v>1100</v>
      </c>
      <c r="AR6" s="28">
        <v>2880</v>
      </c>
      <c r="AS6" s="49"/>
      <c r="AT6" s="28">
        <v>36650</v>
      </c>
      <c r="AU6" s="28">
        <v>29290</v>
      </c>
    </row>
    <row r="7" spans="1:47" ht="20.25" customHeight="1" x14ac:dyDescent="0.35">
      <c r="A7" s="11">
        <v>2200</v>
      </c>
      <c r="B7" s="19" t="s">
        <v>188</v>
      </c>
      <c r="C7" s="19" t="s">
        <v>185</v>
      </c>
      <c r="D7" s="19" t="s">
        <v>54</v>
      </c>
      <c r="E7" s="19" t="s">
        <v>54</v>
      </c>
      <c r="F7" s="19" t="s">
        <v>189</v>
      </c>
      <c r="G7" s="19" t="s">
        <v>54</v>
      </c>
      <c r="H7" s="19"/>
      <c r="I7" s="41">
        <v>80</v>
      </c>
      <c r="J7" s="41">
        <v>40</v>
      </c>
      <c r="K7" s="3">
        <v>40</v>
      </c>
      <c r="L7" s="3">
        <v>480</v>
      </c>
      <c r="M7" s="3">
        <v>50</v>
      </c>
      <c r="N7" s="41">
        <v>80</v>
      </c>
      <c r="O7" s="9">
        <f>(VALORI!B$3 * 'PASTA LUNGA - ITRG270'!I7) + (VALORI!B$4 * 'PASTA LUNGA - ITRG270'!J7) + (VALORI!B$4 * 'PASTA LUNGA - ITRG270'!K7) + (VALORI!B$5 * 'PASTA LUNGA - ITRG270'!L7) + (VALORI!B$6 * 'PASTA LUNGA - ITRG270'!M7) + (VALORI!B$7 * 'PASTA LUNGA - ITRG270'!N7)</f>
        <v>24410</v>
      </c>
      <c r="P7" s="13">
        <f t="shared" si="3"/>
        <v>30512.5</v>
      </c>
      <c r="Q7" s="25">
        <v>81657.576000000001</v>
      </c>
      <c r="R7" s="26">
        <f t="shared" si="0"/>
        <v>93906.212400000004</v>
      </c>
      <c r="S7" s="27" t="s">
        <v>190</v>
      </c>
      <c r="T7" s="28">
        <f t="shared" si="1"/>
        <v>106067.576</v>
      </c>
      <c r="U7" s="28">
        <f t="shared" si="2"/>
        <v>124418.7124</v>
      </c>
      <c r="V7" s="35" t="s">
        <v>55</v>
      </c>
      <c r="W7" s="28">
        <f t="shared" si="4"/>
        <v>4899.4545600000001</v>
      </c>
      <c r="X7" s="28">
        <f t="shared" si="5"/>
        <v>16331.515200000002</v>
      </c>
      <c r="Y7" s="28">
        <v>8000</v>
      </c>
      <c r="Z7" s="28">
        <f t="shared" si="6"/>
        <v>13200</v>
      </c>
      <c r="AA7" s="28">
        <v>3800</v>
      </c>
      <c r="AB7" s="28">
        <v>5500</v>
      </c>
      <c r="AC7" s="28">
        <v>1300</v>
      </c>
      <c r="AD7" s="28">
        <v>8000</v>
      </c>
      <c r="AE7" s="28">
        <v>2200</v>
      </c>
      <c r="AF7" s="28">
        <v>2800</v>
      </c>
      <c r="AG7" s="28">
        <v>1100</v>
      </c>
      <c r="AH7" s="28">
        <v>4000</v>
      </c>
      <c r="AI7" s="28">
        <v>2100</v>
      </c>
      <c r="AJ7" s="28"/>
      <c r="AK7" s="28"/>
      <c r="AL7" s="28"/>
      <c r="AM7" s="82">
        <v>8000</v>
      </c>
      <c r="AN7" s="49"/>
      <c r="AO7" s="28">
        <v>400</v>
      </c>
      <c r="AP7" s="28">
        <v>8000</v>
      </c>
      <c r="AQ7" s="28">
        <v>1100</v>
      </c>
      <c r="AR7" s="28">
        <v>2880</v>
      </c>
      <c r="AS7" s="49"/>
      <c r="AT7" s="28">
        <v>36650</v>
      </c>
      <c r="AU7" s="28">
        <v>29290</v>
      </c>
    </row>
    <row r="8" spans="1:47" ht="20.25" customHeight="1" x14ac:dyDescent="0.35">
      <c r="A8" s="11">
        <v>2200</v>
      </c>
      <c r="B8" s="19" t="s">
        <v>191</v>
      </c>
      <c r="C8" s="19" t="s">
        <v>185</v>
      </c>
      <c r="D8" s="19" t="s">
        <v>54</v>
      </c>
      <c r="E8" s="19" t="s">
        <v>54</v>
      </c>
      <c r="F8" s="19" t="s">
        <v>189</v>
      </c>
      <c r="G8" s="19" t="s">
        <v>54</v>
      </c>
      <c r="H8" s="19"/>
      <c r="I8" s="41">
        <v>85</v>
      </c>
      <c r="J8" s="41">
        <v>40</v>
      </c>
      <c r="K8" s="3">
        <v>40</v>
      </c>
      <c r="L8" s="3">
        <v>520</v>
      </c>
      <c r="M8" s="3">
        <v>50</v>
      </c>
      <c r="N8" s="41">
        <v>80</v>
      </c>
      <c r="O8" s="9">
        <f>(VALORI!B$3 * 'PASTA LUNGA - ITRG270'!I8) + (VALORI!B$4 * 'PASTA LUNGA - ITRG270'!J8) + (VALORI!B$4 * 'PASTA LUNGA - ITRG270'!K8) + (VALORI!B$5 * 'PASTA LUNGA - ITRG270'!L8) + (VALORI!B$6 * 'PASTA LUNGA - ITRG270'!M8) + (VALORI!B$7 * 'PASTA LUNGA - ITRG270'!N8)</f>
        <v>25755</v>
      </c>
      <c r="P8" s="13">
        <f t="shared" ref="P8" si="7">(O8*25%)+O8</f>
        <v>32193.75</v>
      </c>
      <c r="Q8" s="25">
        <v>89080.991999999998</v>
      </c>
      <c r="R8" s="26">
        <f t="shared" ref="R8" si="8">(Q8*15%)+Q8</f>
        <v>102443.14079999999</v>
      </c>
      <c r="S8" s="27" t="s">
        <v>91</v>
      </c>
      <c r="T8" s="28">
        <f t="shared" si="1"/>
        <v>114835.992</v>
      </c>
      <c r="U8" s="28">
        <f t="shared" si="2"/>
        <v>134636.89079999999</v>
      </c>
      <c r="V8" s="35" t="s">
        <v>55</v>
      </c>
      <c r="W8" s="28">
        <f t="shared" si="4"/>
        <v>5344.85952</v>
      </c>
      <c r="X8" s="28">
        <f t="shared" si="5"/>
        <v>17816.198400000001</v>
      </c>
      <c r="Y8" s="28">
        <v>10000</v>
      </c>
      <c r="Z8" s="28">
        <f t="shared" si="6"/>
        <v>16500</v>
      </c>
      <c r="AA8" s="28">
        <v>3800</v>
      </c>
      <c r="AB8" s="28">
        <v>5500</v>
      </c>
      <c r="AC8" s="28">
        <v>1300</v>
      </c>
      <c r="AD8" s="28">
        <v>8000</v>
      </c>
      <c r="AE8" s="28">
        <v>2200</v>
      </c>
      <c r="AF8" s="28">
        <v>2800</v>
      </c>
      <c r="AG8" s="28">
        <v>1100</v>
      </c>
      <c r="AH8" s="28">
        <v>4000</v>
      </c>
      <c r="AI8" s="28">
        <v>4200</v>
      </c>
      <c r="AJ8" s="28"/>
      <c r="AK8" s="28"/>
      <c r="AL8" s="28"/>
      <c r="AM8" s="82">
        <v>8000</v>
      </c>
      <c r="AN8" s="49"/>
      <c r="AO8" s="28">
        <v>800</v>
      </c>
      <c r="AP8" s="28">
        <v>8000</v>
      </c>
      <c r="AQ8" s="28">
        <v>1100</v>
      </c>
      <c r="AR8" s="28">
        <v>2880</v>
      </c>
      <c r="AS8" s="49"/>
      <c r="AT8" s="28">
        <v>36650</v>
      </c>
      <c r="AU8" s="28">
        <v>29290</v>
      </c>
    </row>
    <row r="9" spans="1:47" ht="20.25" customHeight="1" x14ac:dyDescent="0.35">
      <c r="A9" s="11">
        <v>3000</v>
      </c>
      <c r="B9" s="10" t="s">
        <v>160</v>
      </c>
      <c r="C9" s="10" t="s">
        <v>161</v>
      </c>
      <c r="D9" s="10" t="s">
        <v>54</v>
      </c>
      <c r="E9" s="10" t="s">
        <v>54</v>
      </c>
      <c r="F9" s="10" t="s">
        <v>192</v>
      </c>
      <c r="G9" s="10" t="s">
        <v>54</v>
      </c>
      <c r="H9" s="10"/>
      <c r="I9" s="41">
        <v>90</v>
      </c>
      <c r="J9" s="41">
        <v>50</v>
      </c>
      <c r="K9" s="3">
        <v>50</v>
      </c>
      <c r="L9" s="3">
        <v>530</v>
      </c>
      <c r="M9" s="3">
        <v>50</v>
      </c>
      <c r="N9" s="41">
        <v>90</v>
      </c>
      <c r="O9" s="9">
        <f>(VALORI!B$3 * 'PASTA LUNGA - ITRG270'!I9) + (VALORI!B$4 * 'PASTA LUNGA - ITRG270'!J9) + (VALORI!B$4 * 'PASTA LUNGA - ITRG270'!K9) + (VALORI!B$5 * 'PASTA LUNGA - ITRG270'!L9) + (VALORI!B$6 * 'PASTA LUNGA - ITRG270'!M9) + (VALORI!B$7 * 'PASTA LUNGA - ITRG270'!N9)</f>
        <v>27370</v>
      </c>
      <c r="P9" s="13">
        <f t="shared" si="3"/>
        <v>34212.5</v>
      </c>
      <c r="Q9" s="25">
        <v>96504.40800000001</v>
      </c>
      <c r="R9" s="26">
        <f t="shared" si="0"/>
        <v>110980.06920000001</v>
      </c>
      <c r="S9" s="27" t="s">
        <v>91</v>
      </c>
      <c r="T9" s="28">
        <f t="shared" si="1"/>
        <v>123874.40800000001</v>
      </c>
      <c r="U9" s="28">
        <f t="shared" si="2"/>
        <v>145192.56920000003</v>
      </c>
      <c r="V9" s="35" t="s">
        <v>55</v>
      </c>
      <c r="W9" s="28">
        <f t="shared" si="4"/>
        <v>5790.2644800000007</v>
      </c>
      <c r="X9" s="28">
        <f t="shared" si="5"/>
        <v>19300.881600000004</v>
      </c>
      <c r="Y9" s="28">
        <v>10000</v>
      </c>
      <c r="Z9" s="28">
        <f t="shared" si="6"/>
        <v>16500</v>
      </c>
      <c r="AA9" s="28">
        <v>3800</v>
      </c>
      <c r="AB9" s="28">
        <v>5500</v>
      </c>
      <c r="AC9" s="28">
        <v>1300</v>
      </c>
      <c r="AD9" s="28">
        <v>8000</v>
      </c>
      <c r="AE9" s="28">
        <v>2200</v>
      </c>
      <c r="AF9" s="28">
        <v>2800</v>
      </c>
      <c r="AG9" s="28">
        <v>1100</v>
      </c>
      <c r="AH9" s="28">
        <v>5000</v>
      </c>
      <c r="AI9" s="28">
        <v>4200</v>
      </c>
      <c r="AJ9" s="28"/>
      <c r="AK9" s="28"/>
      <c r="AL9" s="28"/>
      <c r="AM9" s="82">
        <v>8000</v>
      </c>
      <c r="AN9" s="49"/>
      <c r="AO9" s="28">
        <v>800</v>
      </c>
      <c r="AP9" s="28">
        <v>8000</v>
      </c>
      <c r="AQ9" s="28">
        <v>1100</v>
      </c>
      <c r="AR9" s="28">
        <v>2880</v>
      </c>
      <c r="AS9" s="49"/>
      <c r="AT9" s="28">
        <v>36650</v>
      </c>
      <c r="AU9" s="28">
        <v>29290</v>
      </c>
    </row>
    <row r="10" spans="1:47" ht="20.25" customHeight="1" x14ac:dyDescent="0.35">
      <c r="A10" s="11">
        <v>3500</v>
      </c>
      <c r="B10" s="10" t="s">
        <v>163</v>
      </c>
      <c r="C10" s="10" t="s">
        <v>164</v>
      </c>
      <c r="D10" s="10" t="s">
        <v>54</v>
      </c>
      <c r="E10" s="10" t="s">
        <v>54</v>
      </c>
      <c r="F10" s="10" t="s">
        <v>193</v>
      </c>
      <c r="G10" s="10" t="s">
        <v>54</v>
      </c>
      <c r="H10" s="10"/>
      <c r="I10" s="41">
        <v>100</v>
      </c>
      <c r="J10" s="41">
        <v>50</v>
      </c>
      <c r="K10" s="3">
        <v>50</v>
      </c>
      <c r="L10" s="3">
        <v>550</v>
      </c>
      <c r="M10" s="3">
        <v>55</v>
      </c>
      <c r="N10" s="41">
        <v>100</v>
      </c>
      <c r="O10" s="9">
        <f>(VALORI!B$3 * 'PASTA LUNGA - ITRG270'!I10) + (VALORI!B$4 * 'PASTA LUNGA - ITRG270'!J10) + (VALORI!B$4 * 'PASTA LUNGA - ITRG270'!K10) + (VALORI!B$5 * 'PASTA LUNGA - ITRG270'!L10) + (VALORI!B$6 * 'PASTA LUNGA - ITRG270'!M10) + (VALORI!B$7 * 'PASTA LUNGA - ITRG270'!N10)</f>
        <v>28845</v>
      </c>
      <c r="P10" s="13">
        <f t="shared" si="3"/>
        <v>36056.25</v>
      </c>
      <c r="Q10" s="25">
        <v>98978.880000000005</v>
      </c>
      <c r="R10" s="26">
        <f t="shared" si="0"/>
        <v>113825.712</v>
      </c>
      <c r="S10" s="27" t="s">
        <v>91</v>
      </c>
      <c r="T10" s="28">
        <f t="shared" si="1"/>
        <v>127823.88</v>
      </c>
      <c r="U10" s="28">
        <f t="shared" si="2"/>
        <v>149881.962</v>
      </c>
      <c r="V10" s="35" t="s">
        <v>55</v>
      </c>
      <c r="W10" s="28">
        <f t="shared" ref="W10" si="9">(Q10*6%)</f>
        <v>5938.7327999999998</v>
      </c>
      <c r="X10" s="28">
        <f t="shared" ref="X10" si="10">(Q10*20%)</f>
        <v>19795.776000000002</v>
      </c>
      <c r="Y10" s="28">
        <v>10000</v>
      </c>
      <c r="Z10" s="28">
        <f t="shared" si="6"/>
        <v>16500</v>
      </c>
      <c r="AA10" s="28">
        <v>3800</v>
      </c>
      <c r="AB10" s="28">
        <v>5500</v>
      </c>
      <c r="AC10" s="28">
        <v>1300</v>
      </c>
      <c r="AD10" s="28">
        <v>8000</v>
      </c>
      <c r="AE10" s="28">
        <v>2200</v>
      </c>
      <c r="AF10" s="28">
        <v>2800</v>
      </c>
      <c r="AG10" s="28">
        <v>1100</v>
      </c>
      <c r="AH10" s="28">
        <v>5000</v>
      </c>
      <c r="AI10" s="28">
        <v>4200</v>
      </c>
      <c r="AJ10" s="28"/>
      <c r="AK10" s="28"/>
      <c r="AL10" s="28"/>
      <c r="AM10" s="82">
        <v>8000</v>
      </c>
      <c r="AN10" s="49"/>
      <c r="AO10" s="28">
        <v>800</v>
      </c>
      <c r="AP10" s="28">
        <v>8000</v>
      </c>
      <c r="AQ10" s="28">
        <v>1100</v>
      </c>
      <c r="AR10" s="28">
        <v>2880</v>
      </c>
      <c r="AS10" s="49"/>
      <c r="AT10" s="28">
        <v>36650</v>
      </c>
      <c r="AU10" s="28">
        <v>29290</v>
      </c>
    </row>
    <row r="11" spans="1:47" ht="20.25" customHeight="1" x14ac:dyDescent="0.35">
      <c r="A11" s="11">
        <v>4000</v>
      </c>
      <c r="B11" s="10" t="s">
        <v>166</v>
      </c>
      <c r="C11" s="10" t="s">
        <v>164</v>
      </c>
      <c r="D11" s="10" t="s">
        <v>54</v>
      </c>
      <c r="E11" s="10" t="s">
        <v>54</v>
      </c>
      <c r="F11" s="10" t="s">
        <v>194</v>
      </c>
      <c r="G11" s="10" t="s">
        <v>54</v>
      </c>
      <c r="H11" s="10"/>
      <c r="I11" s="41">
        <v>110</v>
      </c>
      <c r="J11" s="41">
        <v>50</v>
      </c>
      <c r="K11" s="41">
        <v>50</v>
      </c>
      <c r="L11" s="41">
        <v>580</v>
      </c>
      <c r="M11" s="41">
        <v>60</v>
      </c>
      <c r="N11" s="41">
        <v>100</v>
      </c>
      <c r="O11" s="9">
        <f>(VALORI!B$3 * 'PASTA LUNGA - ITRG270'!I11) + (VALORI!B$4 * 'PASTA LUNGA - ITRG270'!J11) + (VALORI!B$4 * 'PASTA LUNGA - ITRG270'!K11) + (VALORI!B$5 * 'PASTA LUNGA - ITRG270'!L11) + (VALORI!B$6 * 'PASTA LUNGA - ITRG270'!M11) + (VALORI!B$7 * 'PASTA LUNGA - ITRG270'!N11)</f>
        <v>30230</v>
      </c>
      <c r="P11" s="13">
        <f t="shared" si="3"/>
        <v>37787.5</v>
      </c>
      <c r="Q11" s="25">
        <v>102690.588</v>
      </c>
      <c r="R11" s="26">
        <f t="shared" si="0"/>
        <v>118094.1762</v>
      </c>
      <c r="S11" s="27" t="s">
        <v>99</v>
      </c>
      <c r="T11" s="28">
        <f t="shared" si="1"/>
        <v>132920.58799999999</v>
      </c>
      <c r="U11" s="28">
        <f t="shared" si="2"/>
        <v>155881.67619999999</v>
      </c>
      <c r="V11" s="35" t="s">
        <v>55</v>
      </c>
      <c r="W11" s="28">
        <f t="shared" si="4"/>
        <v>6161.4352799999997</v>
      </c>
      <c r="X11" s="28">
        <f t="shared" si="5"/>
        <v>20538.117600000001</v>
      </c>
      <c r="Y11" s="28">
        <v>12000</v>
      </c>
      <c r="Z11" s="28">
        <f t="shared" si="6"/>
        <v>19800</v>
      </c>
      <c r="AA11" s="28">
        <v>3800</v>
      </c>
      <c r="AB11" s="28">
        <v>5500</v>
      </c>
      <c r="AC11" s="28">
        <v>1300</v>
      </c>
      <c r="AD11" s="28">
        <v>8000</v>
      </c>
      <c r="AE11" s="28">
        <v>2200</v>
      </c>
      <c r="AF11" s="28">
        <v>2800</v>
      </c>
      <c r="AG11" s="28">
        <v>1100</v>
      </c>
      <c r="AH11" s="28">
        <v>4000</v>
      </c>
      <c r="AI11" s="28">
        <v>4200</v>
      </c>
      <c r="AJ11" s="28"/>
      <c r="AK11" s="28"/>
      <c r="AL11" s="28"/>
      <c r="AM11" s="82">
        <v>8000</v>
      </c>
      <c r="AN11" s="49"/>
      <c r="AO11" s="28">
        <v>800</v>
      </c>
      <c r="AP11" s="28">
        <v>8000</v>
      </c>
      <c r="AQ11" s="28">
        <v>1100</v>
      </c>
      <c r="AR11" s="28">
        <v>2880</v>
      </c>
      <c r="AS11" s="49"/>
      <c r="AT11" s="28">
        <v>36650</v>
      </c>
      <c r="AU11" s="28">
        <v>29290</v>
      </c>
    </row>
    <row r="12" spans="1:47" ht="20.25" customHeight="1" x14ac:dyDescent="0.35">
      <c r="A12" s="11">
        <v>4500</v>
      </c>
      <c r="B12" s="10" t="s">
        <v>168</v>
      </c>
      <c r="C12" s="10" t="s">
        <v>164</v>
      </c>
      <c r="D12" s="10" t="s">
        <v>54</v>
      </c>
      <c r="E12" s="10" t="s">
        <v>54</v>
      </c>
      <c r="F12" s="10" t="s">
        <v>195</v>
      </c>
      <c r="G12" s="10" t="s">
        <v>54</v>
      </c>
      <c r="H12" s="10"/>
      <c r="I12" s="41">
        <v>110</v>
      </c>
      <c r="J12" s="3">
        <v>50</v>
      </c>
      <c r="K12" s="3">
        <v>50</v>
      </c>
      <c r="L12" s="3">
        <v>600</v>
      </c>
      <c r="M12" s="3">
        <v>65</v>
      </c>
      <c r="N12" s="41">
        <v>100</v>
      </c>
      <c r="O12" s="9">
        <f>(VALORI!B$3 * 'PASTA LUNGA - ITRG270'!I12) + (VALORI!B$4 * 'PASTA LUNGA - ITRG270'!J12) + (VALORI!B$4 * 'PASTA LUNGA - ITRG270'!K12) + (VALORI!B$5 * 'PASTA LUNGA - ITRG270'!L12) + (VALORI!B$6 * 'PASTA LUNGA - ITRG270'!M12) + (VALORI!B$7 * 'PASTA LUNGA - ITRG270'!N12)</f>
        <v>30955</v>
      </c>
      <c r="P12" s="13">
        <f t="shared" si="3"/>
        <v>38693.75</v>
      </c>
      <c r="Q12" s="25">
        <v>105165.06</v>
      </c>
      <c r="R12" s="26">
        <f t="shared" si="0"/>
        <v>120939.81899999999</v>
      </c>
      <c r="S12" s="27" t="s">
        <v>99</v>
      </c>
      <c r="T12" s="28">
        <f t="shared" si="1"/>
        <v>136120.06</v>
      </c>
      <c r="U12" s="28">
        <f t="shared" si="2"/>
        <v>159633.56899999999</v>
      </c>
      <c r="V12" s="35" t="s">
        <v>55</v>
      </c>
      <c r="W12" s="28">
        <f t="shared" si="4"/>
        <v>6309.9035999999996</v>
      </c>
      <c r="X12" s="28">
        <f t="shared" si="5"/>
        <v>21033.012000000002</v>
      </c>
      <c r="Y12" s="28">
        <v>12000</v>
      </c>
      <c r="Z12" s="28">
        <f t="shared" si="6"/>
        <v>19800</v>
      </c>
      <c r="AA12" s="28">
        <v>3800</v>
      </c>
      <c r="AB12" s="28">
        <v>5500</v>
      </c>
      <c r="AC12" s="28">
        <v>1300</v>
      </c>
      <c r="AD12" s="28">
        <v>8000</v>
      </c>
      <c r="AE12" s="28">
        <v>2200</v>
      </c>
      <c r="AF12" s="28">
        <v>2800</v>
      </c>
      <c r="AG12" s="28">
        <v>1100</v>
      </c>
      <c r="AH12" s="28">
        <v>4000</v>
      </c>
      <c r="AI12" s="28">
        <v>4200</v>
      </c>
      <c r="AJ12" s="28"/>
      <c r="AK12" s="28"/>
      <c r="AL12" s="28"/>
      <c r="AM12" s="82">
        <v>8000</v>
      </c>
      <c r="AN12" s="49"/>
      <c r="AO12" s="28">
        <v>800</v>
      </c>
      <c r="AP12" s="28">
        <v>8000</v>
      </c>
      <c r="AQ12" s="28">
        <v>1100</v>
      </c>
      <c r="AR12" s="28">
        <v>2880</v>
      </c>
      <c r="AS12" s="49"/>
      <c r="AT12" s="28">
        <v>36650</v>
      </c>
      <c r="AU12" s="28">
        <v>29290</v>
      </c>
    </row>
    <row r="13" spans="1:47" ht="20.25" customHeight="1" x14ac:dyDescent="0.35">
      <c r="A13" s="11">
        <v>5000</v>
      </c>
      <c r="B13" s="10" t="s">
        <v>170</v>
      </c>
      <c r="C13" s="10" t="s">
        <v>171</v>
      </c>
      <c r="D13" s="10" t="s">
        <v>54</v>
      </c>
      <c r="E13" s="10" t="s">
        <v>54</v>
      </c>
      <c r="F13" s="10" t="s">
        <v>196</v>
      </c>
      <c r="G13" s="10" t="s">
        <v>54</v>
      </c>
      <c r="H13" s="10"/>
      <c r="I13" s="41">
        <v>110</v>
      </c>
      <c r="J13" s="3">
        <v>50</v>
      </c>
      <c r="K13" s="3">
        <v>50</v>
      </c>
      <c r="L13" s="3">
        <v>640</v>
      </c>
      <c r="M13" s="3">
        <v>70</v>
      </c>
      <c r="N13" s="41">
        <v>100</v>
      </c>
      <c r="O13" s="9">
        <f>(VALORI!B$3 * 'PASTA LUNGA - ITRG270'!I13) + (VALORI!B$4 * 'PASTA LUNGA - ITRG270'!J13) + (VALORI!B$4 * 'PASTA LUNGA - ITRG270'!K13) + (VALORI!B$5 * 'PASTA LUNGA - ITRG270'!L13) + (VALORI!B$6 * 'PASTA LUNGA - ITRG270'!M13) + (VALORI!B$7 * 'PASTA LUNGA - ITRG270'!N13)</f>
        <v>32260</v>
      </c>
      <c r="P13" s="13">
        <f t="shared" si="3"/>
        <v>40325</v>
      </c>
      <c r="Q13" s="25">
        <v>115062.948</v>
      </c>
      <c r="R13" s="26">
        <f t="shared" si="0"/>
        <v>132322.39019999999</v>
      </c>
      <c r="S13" s="27" t="s">
        <v>173</v>
      </c>
      <c r="T13" s="28">
        <f t="shared" si="1"/>
        <v>147322.948</v>
      </c>
      <c r="U13" s="28">
        <f t="shared" si="2"/>
        <v>172647.39019999999</v>
      </c>
      <c r="V13" s="35" t="s">
        <v>55</v>
      </c>
      <c r="W13" s="28">
        <f t="shared" si="4"/>
        <v>6903.7768800000003</v>
      </c>
      <c r="X13" s="28">
        <f t="shared" si="5"/>
        <v>23012.589600000003</v>
      </c>
      <c r="Y13" s="28">
        <v>14000</v>
      </c>
      <c r="Z13" s="28">
        <f t="shared" si="6"/>
        <v>23100</v>
      </c>
      <c r="AA13" s="28">
        <v>3800</v>
      </c>
      <c r="AB13" s="28">
        <v>5500</v>
      </c>
      <c r="AC13" s="28">
        <v>1300</v>
      </c>
      <c r="AD13" s="28">
        <v>8000</v>
      </c>
      <c r="AE13" s="28">
        <v>2200</v>
      </c>
      <c r="AF13" s="28">
        <v>2800</v>
      </c>
      <c r="AG13" s="28">
        <v>1100</v>
      </c>
      <c r="AH13" s="28">
        <v>8000</v>
      </c>
      <c r="AI13" s="28">
        <v>8400</v>
      </c>
      <c r="AJ13" s="28"/>
      <c r="AK13" s="28"/>
      <c r="AL13" s="28"/>
      <c r="AM13" s="82">
        <v>8000</v>
      </c>
      <c r="AN13" s="49"/>
      <c r="AO13" s="28">
        <v>1600</v>
      </c>
      <c r="AP13" s="28">
        <v>8000</v>
      </c>
      <c r="AQ13" s="28">
        <v>1100</v>
      </c>
      <c r="AR13" s="28">
        <v>2880</v>
      </c>
      <c r="AS13" s="49"/>
      <c r="AT13" s="28">
        <v>36650</v>
      </c>
      <c r="AU13" s="28">
        <v>29290</v>
      </c>
    </row>
    <row r="14" spans="1:47" ht="20.25" customHeight="1" x14ac:dyDescent="0.35">
      <c r="A14" s="11">
        <v>5500</v>
      </c>
      <c r="B14" s="10" t="s">
        <v>170</v>
      </c>
      <c r="C14" s="10" t="s">
        <v>171</v>
      </c>
      <c r="D14" s="10" t="s">
        <v>54</v>
      </c>
      <c r="E14" s="10" t="s">
        <v>54</v>
      </c>
      <c r="F14" s="10" t="s">
        <v>197</v>
      </c>
      <c r="G14" s="10" t="s">
        <v>54</v>
      </c>
      <c r="H14" s="10"/>
      <c r="I14" s="41">
        <v>120</v>
      </c>
      <c r="J14" s="3">
        <v>60</v>
      </c>
      <c r="K14" s="3">
        <v>60</v>
      </c>
      <c r="L14" s="3">
        <v>680</v>
      </c>
      <c r="M14" s="3">
        <v>80</v>
      </c>
      <c r="N14" s="41">
        <v>120</v>
      </c>
      <c r="O14" s="9">
        <f>(VALORI!B$3 * 'PASTA LUNGA - ITRG270'!I14) + (VALORI!B$4 * 'PASTA LUNGA - ITRG270'!J14) + (VALORI!B$4 * 'PASTA LUNGA - ITRG270'!K14) + (VALORI!B$5 * 'PASTA LUNGA - ITRG270'!L14) + (VALORI!B$6 * 'PASTA LUNGA - ITRG270'!M14) + (VALORI!B$7 * 'PASTA LUNGA - ITRG270'!N14)</f>
        <v>35600</v>
      </c>
      <c r="P14" s="13">
        <f t="shared" si="3"/>
        <v>44500</v>
      </c>
      <c r="Q14" s="25">
        <v>139807.66800000001</v>
      </c>
      <c r="R14" s="26">
        <f t="shared" si="0"/>
        <v>160778.81820000001</v>
      </c>
      <c r="S14" s="27" t="s">
        <v>109</v>
      </c>
      <c r="T14" s="28">
        <f t="shared" si="1"/>
        <v>175407.66800000001</v>
      </c>
      <c r="U14" s="28">
        <f t="shared" si="2"/>
        <v>205278.81820000001</v>
      </c>
      <c r="V14" s="35" t="s">
        <v>55</v>
      </c>
      <c r="W14" s="28">
        <f t="shared" ref="W14" si="11">(Q14*6%)</f>
        <v>8388.4600800000007</v>
      </c>
      <c r="X14" s="28">
        <f t="shared" ref="X14" si="12">(Q14*20%)</f>
        <v>27961.533600000002</v>
      </c>
      <c r="Y14" s="28">
        <v>14000</v>
      </c>
      <c r="Z14" s="28">
        <f t="shared" si="6"/>
        <v>23100</v>
      </c>
      <c r="AA14" s="28">
        <v>3800</v>
      </c>
      <c r="AB14" s="28">
        <v>5500</v>
      </c>
      <c r="AC14" s="28">
        <v>1300</v>
      </c>
      <c r="AD14" s="28">
        <v>8000</v>
      </c>
      <c r="AE14" s="28">
        <v>2200</v>
      </c>
      <c r="AF14" s="28">
        <v>2800</v>
      </c>
      <c r="AG14" s="28">
        <v>1100</v>
      </c>
      <c r="AH14" s="28">
        <v>8000</v>
      </c>
      <c r="AI14" s="28">
        <v>8400</v>
      </c>
      <c r="AJ14" s="28"/>
      <c r="AK14" s="28"/>
      <c r="AL14" s="28"/>
      <c r="AM14" s="82">
        <v>8000</v>
      </c>
      <c r="AN14" s="49"/>
      <c r="AO14" s="28">
        <v>1600</v>
      </c>
      <c r="AP14" s="28">
        <v>8000</v>
      </c>
      <c r="AQ14" s="28">
        <v>1100</v>
      </c>
      <c r="AR14" s="28">
        <v>2880</v>
      </c>
      <c r="AS14" s="49"/>
      <c r="AT14" s="28">
        <v>36650</v>
      </c>
      <c r="AU14" s="28">
        <v>29290</v>
      </c>
    </row>
    <row r="15" spans="1:47" ht="20.25" customHeight="1" x14ac:dyDescent="0.35">
      <c r="A15" s="11">
        <v>6000</v>
      </c>
      <c r="B15" s="10" t="s">
        <v>176</v>
      </c>
      <c r="C15" s="10" t="s">
        <v>177</v>
      </c>
      <c r="D15" s="10" t="s">
        <v>54</v>
      </c>
      <c r="E15" s="10" t="s">
        <v>54</v>
      </c>
      <c r="F15" s="10" t="s">
        <v>198</v>
      </c>
      <c r="G15" s="10" t="s">
        <v>54</v>
      </c>
      <c r="H15" s="10"/>
      <c r="I15" s="41">
        <v>140</v>
      </c>
      <c r="J15" s="3">
        <v>70</v>
      </c>
      <c r="K15" s="3">
        <v>70</v>
      </c>
      <c r="L15" s="3">
        <v>720</v>
      </c>
      <c r="M15" s="3">
        <v>80</v>
      </c>
      <c r="N15" s="41">
        <v>150</v>
      </c>
      <c r="O15" s="9">
        <f>(VALORI!B$3 * 'PASTA LUNGA - ITRG270'!I15) + (VALORI!B$4 * 'PASTA LUNGA - ITRG270'!J15) + (VALORI!B$4 * 'PASTA LUNGA - ITRG270'!K15) + (VALORI!B$5 * 'PASTA LUNGA - ITRG270'!L15) + (VALORI!B$6 * 'PASTA LUNGA - ITRG270'!M15) + (VALORI!B$7 * 'PASTA LUNGA - ITRG270'!N15)</f>
        <v>39400</v>
      </c>
      <c r="P15" s="13">
        <f t="shared" si="3"/>
        <v>49250</v>
      </c>
      <c r="Q15" s="25">
        <v>145993.848</v>
      </c>
      <c r="R15" s="26">
        <f t="shared" si="0"/>
        <v>167892.9252</v>
      </c>
      <c r="S15" s="27" t="s">
        <v>109</v>
      </c>
      <c r="T15" s="28">
        <f t="shared" si="1"/>
        <v>185393.848</v>
      </c>
      <c r="U15" s="28">
        <f t="shared" si="2"/>
        <v>217142.9252</v>
      </c>
      <c r="V15" s="35" t="s">
        <v>55</v>
      </c>
      <c r="W15" s="28">
        <f>(Q15*6%)</f>
        <v>8759.6308799999988</v>
      </c>
      <c r="X15" s="28">
        <f t="shared" si="5"/>
        <v>29198.7696</v>
      </c>
      <c r="Y15" s="28">
        <v>14000</v>
      </c>
      <c r="Z15" s="28">
        <f t="shared" si="6"/>
        <v>23100</v>
      </c>
      <c r="AA15" s="28">
        <v>3800</v>
      </c>
      <c r="AB15" s="28">
        <v>5500</v>
      </c>
      <c r="AC15" s="28">
        <v>1300</v>
      </c>
      <c r="AD15" s="28">
        <v>8000</v>
      </c>
      <c r="AE15" s="28">
        <v>2200</v>
      </c>
      <c r="AF15" s="28">
        <v>2800</v>
      </c>
      <c r="AG15" s="28">
        <v>1100</v>
      </c>
      <c r="AH15" s="28">
        <v>8000</v>
      </c>
      <c r="AI15" s="28">
        <v>8400</v>
      </c>
      <c r="AJ15" s="28"/>
      <c r="AK15" s="28"/>
      <c r="AL15" s="28"/>
      <c r="AM15" s="82">
        <v>8000</v>
      </c>
      <c r="AN15" s="49"/>
      <c r="AO15" s="28">
        <v>1600</v>
      </c>
      <c r="AP15" s="28">
        <v>8000</v>
      </c>
      <c r="AQ15" s="28">
        <v>1100</v>
      </c>
      <c r="AR15" s="28">
        <v>2880</v>
      </c>
      <c r="AS15" s="49"/>
      <c r="AT15" s="28">
        <v>36650</v>
      </c>
      <c r="AU15" s="28">
        <v>29290</v>
      </c>
    </row>
    <row r="16" spans="1:47" ht="15.75" x14ac:dyDescent="0.25">
      <c r="AM16" s="83"/>
      <c r="AN16" s="49"/>
      <c r="AS16" s="49"/>
    </row>
    <row r="17" spans="15:47" ht="15.75" x14ac:dyDescent="0.25">
      <c r="AM17" s="83"/>
      <c r="AN17" s="49"/>
      <c r="AS17" s="49"/>
    </row>
    <row r="18" spans="15:47" customFormat="1" ht="15.75" x14ac:dyDescent="0.25">
      <c r="AP18" s="49"/>
      <c r="AU18" s="49"/>
    </row>
    <row r="19" spans="15:47" customFormat="1" ht="15.75" x14ac:dyDescent="0.25">
      <c r="AP19" s="49"/>
      <c r="AU19" s="49"/>
    </row>
    <row r="20" spans="15:47" customFormat="1" ht="15.75" x14ac:dyDescent="0.25">
      <c r="AP20" s="49"/>
      <c r="AU20" s="49"/>
    </row>
    <row r="21" spans="15:47" customFormat="1" ht="15.75" x14ac:dyDescent="0.25">
      <c r="AP21" s="49"/>
      <c r="AU21" s="49"/>
    </row>
    <row r="22" spans="15:47" customFormat="1" ht="15.75" x14ac:dyDescent="0.25">
      <c r="AP22" s="49"/>
      <c r="AU22" s="49"/>
    </row>
    <row r="23" spans="15:47" customFormat="1" ht="15.75" x14ac:dyDescent="0.25">
      <c r="AP23" s="49"/>
      <c r="AU23" s="49"/>
    </row>
    <row r="24" spans="15:47" customFormat="1" ht="15.75" x14ac:dyDescent="0.25">
      <c r="AP24" s="49"/>
      <c r="AU24" s="49"/>
    </row>
    <row r="25" spans="15:47" customFormat="1" ht="15.75" x14ac:dyDescent="0.25">
      <c r="AP25" s="49"/>
      <c r="AU25" s="49"/>
    </row>
    <row r="26" spans="15:47" customFormat="1" ht="15.75" x14ac:dyDescent="0.25">
      <c r="AP26" s="49"/>
      <c r="AU26" s="49"/>
    </row>
    <row r="27" spans="15:47" ht="15.75" x14ac:dyDescent="0.25">
      <c r="AM27" s="83"/>
      <c r="AN27" s="49"/>
      <c r="AS27" s="49"/>
    </row>
    <row r="28" spans="15:47" ht="15.75" x14ac:dyDescent="0.25">
      <c r="AM28" s="83"/>
      <c r="AN28" s="49"/>
      <c r="AS28" s="49"/>
    </row>
    <row r="29" spans="15:47" ht="15.75" x14ac:dyDescent="0.25">
      <c r="AM29" s="83"/>
      <c r="AN29" s="49"/>
      <c r="AS29" s="49"/>
    </row>
    <row r="30" spans="15:47" ht="15.75" customHeight="1" x14ac:dyDescent="0.25">
      <c r="O30" s="218" t="s">
        <v>115</v>
      </c>
      <c r="P30" s="219"/>
      <c r="Q30" s="28" t="s">
        <v>116</v>
      </c>
      <c r="R30" s="28" t="s">
        <v>63</v>
      </c>
      <c r="S30" s="5"/>
      <c r="T30" s="28"/>
      <c r="U30" s="28"/>
      <c r="V30" s="28"/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4</v>
      </c>
      <c r="AD30" s="53">
        <v>8</v>
      </c>
      <c r="AE30" s="53">
        <v>8</v>
      </c>
      <c r="AF30" s="53">
        <v>8</v>
      </c>
      <c r="AG30" s="53">
        <v>8</v>
      </c>
      <c r="AH30" s="53">
        <v>0</v>
      </c>
      <c r="AI30" s="53">
        <v>8</v>
      </c>
      <c r="AJ30" s="53"/>
      <c r="AK30" s="53"/>
      <c r="AL30" s="53"/>
      <c r="AM30" s="87">
        <v>0</v>
      </c>
      <c r="AN30" s="49"/>
      <c r="AO30" s="53">
        <v>8</v>
      </c>
      <c r="AP30" s="53">
        <v>24</v>
      </c>
      <c r="AQ30" s="53">
        <v>6</v>
      </c>
      <c r="AR30" s="53">
        <v>6</v>
      </c>
      <c r="AS30" s="49"/>
    </row>
    <row r="31" spans="15:47" ht="15.75" customHeight="1" x14ac:dyDescent="0.25">
      <c r="O31" s="220"/>
      <c r="P31" s="221"/>
      <c r="Q31" s="28" t="s">
        <v>117</v>
      </c>
      <c r="R31" s="28" t="s">
        <v>63</v>
      </c>
      <c r="S31" s="5"/>
      <c r="T31" s="28"/>
      <c r="U31" s="28"/>
      <c r="V31" s="28"/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8</v>
      </c>
      <c r="AD31" s="53">
        <v>8</v>
      </c>
      <c r="AE31" s="53">
        <v>8</v>
      </c>
      <c r="AF31" s="53">
        <v>8</v>
      </c>
      <c r="AG31" s="53">
        <v>8</v>
      </c>
      <c r="AH31" s="53">
        <v>0</v>
      </c>
      <c r="AI31" s="53">
        <v>8</v>
      </c>
      <c r="AJ31" s="53"/>
      <c r="AK31" s="53"/>
      <c r="AL31" s="53"/>
      <c r="AM31" s="87">
        <v>0</v>
      </c>
      <c r="AN31" s="49"/>
      <c r="AO31" s="53">
        <v>8</v>
      </c>
      <c r="AP31" s="53">
        <v>24</v>
      </c>
      <c r="AQ31" s="53">
        <v>6</v>
      </c>
      <c r="AR31" s="53">
        <v>6</v>
      </c>
      <c r="AS31" s="49"/>
    </row>
    <row r="32" spans="15:47" ht="15.75" customHeight="1" x14ac:dyDescent="0.25">
      <c r="O32" s="220"/>
      <c r="P32" s="221"/>
      <c r="Q32" s="28" t="s">
        <v>118</v>
      </c>
      <c r="R32" s="53">
        <v>30</v>
      </c>
      <c r="S32" s="5"/>
      <c r="T32" s="28"/>
      <c r="U32" s="28"/>
      <c r="V32" s="28"/>
      <c r="W32" s="53">
        <v>10</v>
      </c>
      <c r="X32" s="53">
        <v>30</v>
      </c>
      <c r="Y32" s="53">
        <v>8</v>
      </c>
      <c r="Z32" s="53">
        <v>8</v>
      </c>
      <c r="AA32" s="53">
        <v>8</v>
      </c>
      <c r="AB32" s="53">
        <v>2</v>
      </c>
      <c r="AC32" s="53">
        <v>6</v>
      </c>
      <c r="AD32" s="53">
        <v>8</v>
      </c>
      <c r="AE32" s="53">
        <v>10</v>
      </c>
      <c r="AF32" s="53">
        <v>10</v>
      </c>
      <c r="AG32" s="53">
        <v>10</v>
      </c>
      <c r="AH32" s="53">
        <v>4</v>
      </c>
      <c r="AI32" s="53">
        <v>8</v>
      </c>
      <c r="AJ32" s="53"/>
      <c r="AK32" s="53"/>
      <c r="AL32" s="53"/>
      <c r="AM32" s="87">
        <v>15</v>
      </c>
      <c r="AN32" s="49"/>
      <c r="AO32" s="53">
        <v>8</v>
      </c>
      <c r="AP32" s="53">
        <v>24</v>
      </c>
      <c r="AQ32" s="53">
        <v>6</v>
      </c>
      <c r="AR32" s="53">
        <v>6</v>
      </c>
      <c r="AS32" s="49"/>
    </row>
    <row r="33" spans="15:45" ht="15.75" customHeight="1" x14ac:dyDescent="0.25">
      <c r="O33" s="222"/>
      <c r="P33" s="223"/>
      <c r="Q33" s="28" t="s">
        <v>119</v>
      </c>
      <c r="R33" s="53">
        <v>90</v>
      </c>
      <c r="S33" s="5"/>
      <c r="T33" s="28"/>
      <c r="U33" s="28"/>
      <c r="V33" s="28"/>
      <c r="W33" s="53">
        <v>30</v>
      </c>
      <c r="X33" s="53">
        <v>90</v>
      </c>
      <c r="Y33" s="53">
        <v>24</v>
      </c>
      <c r="Z33" s="53">
        <v>24</v>
      </c>
      <c r="AA33" s="53">
        <v>20</v>
      </c>
      <c r="AB33" s="53">
        <v>1</v>
      </c>
      <c r="AC33" s="53">
        <v>4</v>
      </c>
      <c r="AD33" s="53">
        <v>50</v>
      </c>
      <c r="AE33" s="53">
        <v>10</v>
      </c>
      <c r="AF33" s="53">
        <v>5</v>
      </c>
      <c r="AG33" s="53">
        <v>5</v>
      </c>
      <c r="AH33" s="53">
        <v>0</v>
      </c>
      <c r="AI33" s="53">
        <v>24</v>
      </c>
      <c r="AJ33" s="53"/>
      <c r="AK33" s="53"/>
      <c r="AL33" s="53"/>
      <c r="AM33" s="87">
        <v>3</v>
      </c>
      <c r="AN33" s="49"/>
      <c r="AO33" s="53">
        <v>20</v>
      </c>
      <c r="AP33" s="53">
        <v>70</v>
      </c>
      <c r="AQ33" s="53">
        <v>20</v>
      </c>
      <c r="AR33" s="53">
        <v>20</v>
      </c>
      <c r="AS33" s="49"/>
    </row>
    <row r="34" spans="15:45" x14ac:dyDescent="0.25">
      <c r="AC34" s="52"/>
    </row>
    <row r="37" spans="15:45" ht="62.65" customHeight="1" x14ac:dyDescent="0.25">
      <c r="O37" s="85">
        <v>44731</v>
      </c>
      <c r="P37" t="s">
        <v>303</v>
      </c>
      <c r="Q37" s="85" t="s">
        <v>344</v>
      </c>
      <c r="R37" s="85" t="s">
        <v>345</v>
      </c>
      <c r="W37" s="94" t="s">
        <v>339</v>
      </c>
      <c r="X37" s="94" t="s">
        <v>339</v>
      </c>
      <c r="Y37" s="94" t="s">
        <v>339</v>
      </c>
      <c r="Z37" s="94" t="s">
        <v>339</v>
      </c>
      <c r="AA37" s="94" t="s">
        <v>339</v>
      </c>
      <c r="AB37" s="94" t="s">
        <v>339</v>
      </c>
      <c r="AC37" s="94" t="s">
        <v>339</v>
      </c>
      <c r="AD37" s="94" t="s">
        <v>339</v>
      </c>
      <c r="AE37" s="94" t="s">
        <v>339</v>
      </c>
      <c r="AF37" s="94" t="s">
        <v>339</v>
      </c>
      <c r="AG37" s="94" t="s">
        <v>339</v>
      </c>
      <c r="AH37" s="94" t="s">
        <v>339</v>
      </c>
      <c r="AI37" s="94" t="s">
        <v>339</v>
      </c>
      <c r="AJ37" s="94" t="s">
        <v>339</v>
      </c>
      <c r="AK37" s="94" t="s">
        <v>339</v>
      </c>
      <c r="AL37" s="94" t="s">
        <v>339</v>
      </c>
      <c r="AM37" s="94" t="s">
        <v>339</v>
      </c>
      <c r="AN37" s="94" t="s">
        <v>339</v>
      </c>
      <c r="AO37" s="94" t="s">
        <v>339</v>
      </c>
    </row>
    <row r="38" spans="15:45" ht="15.75" x14ac:dyDescent="0.25">
      <c r="O38" s="25">
        <v>0</v>
      </c>
      <c r="P38" s="25">
        <f>(O38*10%)+O38</f>
        <v>0</v>
      </c>
      <c r="Q38" s="25">
        <f>(P38*4%)+P38</f>
        <v>0</v>
      </c>
      <c r="R38" s="25">
        <f>(Q38*3%)+Q38</f>
        <v>0</v>
      </c>
      <c r="W38" s="28">
        <f>IF(W3&gt;0, W3-(W$30*VALORI!$B$4)-(W$31*VALORI!$B$4)-(W$32*VALORI!$B$3)-(W$33*VALORI!$B$5),0)</f>
        <v>0</v>
      </c>
      <c r="X38" s="28">
        <f>IF(X3&gt;0, X3-(X$30*VALORI!$B$4)-(X$31*VALORI!$B$4)-(X$32*VALORI!$B$3)-(X$33*VALORI!$B$5),0)</f>
        <v>0</v>
      </c>
      <c r="Y38" s="28">
        <f>IF(Y3&gt;0, Y3-(Y$30*VALORI!$B$4)-(Y$31*VALORI!$B$4)-(Y$32*VALORI!$B$3)-(Y$33*VALORI!$B$5),0)</f>
        <v>0</v>
      </c>
      <c r="Z38" s="28">
        <f>IF(Z3&gt;0, Z3-(Z$30*VALORI!$B$4)-(Z$31*VALORI!$B$4)-(Z$32*VALORI!$B$3)-(Z$33*VALORI!$B$5),0)</f>
        <v>0</v>
      </c>
      <c r="AA38" s="28">
        <f>IF(AA3&gt;0, AA3-(AA$30*VALORI!$B$4)-(AA$31*VALORI!$B$4)-(AA$32*VALORI!$B$3)-(AA$33*VALORI!$B$5),0)</f>
        <v>0</v>
      </c>
      <c r="AB38" s="28">
        <f>IF(AB3&gt;0, AB3-(AB$30*VALORI!$B$4)-(AB$31*VALORI!$B$4)-(AB$32*VALORI!$B$3)-(AB$33*VALORI!$B$5),0)</f>
        <v>0</v>
      </c>
      <c r="AC38" s="28">
        <f>IF(AC3&gt;0, AC3-(AC$30*VALORI!$B$4)-(AC$31*VALORI!$B$4)-(AC$32*VALORI!$B$3)-(AC$33*VALORI!$B$5),0)</f>
        <v>0</v>
      </c>
      <c r="AD38" s="28">
        <f>IF(AD3&gt;0, AD3-(AD$30*VALORI!$B$4)-(AD$31*VALORI!$B$4)-(AD$32*VALORI!$B$3)-(AD$33*VALORI!$B$5),0)</f>
        <v>0</v>
      </c>
      <c r="AE38" s="28">
        <f>IF(AE3&gt;0, AE3-(AE$30*VALORI!$B$4)-(AE$31*VALORI!$B$4)-(AE$32*VALORI!$B$3)-(AE$33*VALORI!$B$5),0)</f>
        <v>0</v>
      </c>
      <c r="AF38" s="28">
        <f>IF(AF3&gt;0, AF3-(AF$30*VALORI!$B$4)-(AF$31*VALORI!$B$4)-(AF$32*VALORI!$B$3)-(AF$33*VALORI!$B$5),0)</f>
        <v>0</v>
      </c>
      <c r="AG38" s="28">
        <f>IF(AG3&gt;0, AG3-(AG$30*VALORI!$B$4)-(AG$31*VALORI!$B$4)-(AG$32*VALORI!$B$3)-(AG$33*VALORI!$B$5),0)</f>
        <v>0</v>
      </c>
      <c r="AH38" s="28">
        <f>IF(AH3&gt;0, AH3-(AH$30*VALORI!$B$4)-(AH$31*VALORI!$B$4)-(AH$32*VALORI!$B$3)-(AH$33*VALORI!$B$5),0)</f>
        <v>0</v>
      </c>
      <c r="AI38" s="28">
        <f>IF(AI3&gt;0, AI3-(AI$30*VALORI!$B$4)-(AI$31*VALORI!$B$4)-(AI$32*VALORI!$B$3)-(AI$33*VALORI!$B$5),0)</f>
        <v>0</v>
      </c>
      <c r="AJ38" s="28">
        <f>IF(AJ3&gt;0, AJ3-(AJ$30*VALORI!$B$4)-(AJ$31*VALORI!$B$4)-(AJ$32*VALORI!$B$3)-(AJ$33*VALORI!$B$5),0)</f>
        <v>0</v>
      </c>
      <c r="AK38" s="28">
        <f>IF(AK3&gt;0, AK3-(AK$30*VALORI!$B$4)-(AK$31*VALORI!$B$4)-(AK$32*VALORI!$B$3)-(AK$33*VALORI!$B$5),0)</f>
        <v>0</v>
      </c>
      <c r="AL38" s="28">
        <f>IF(AL3&gt;0, AL3-(AL$30*VALORI!$B$4)-(AL$31*VALORI!$B$4)-(AL$32*VALORI!$B$3)-(AL$33*VALORI!$B$5),0)</f>
        <v>0</v>
      </c>
      <c r="AM38" s="28">
        <f>IF(AM3&gt;0, AM3-(AM$30*VALORI!$B$4)-(AM$31*VALORI!$B$4)-(AM$32*VALORI!$B$3)-(AM$33*VALORI!$B$5),0)</f>
        <v>0</v>
      </c>
      <c r="AN38" s="28">
        <f>IF(AN3&gt;0, AN3-(AN$30*VALORI!$B$4)-(AN$31*VALORI!$B$4)-(AN$32*VALORI!$B$3)-(AN$33*VALORI!$B$5),0)</f>
        <v>0</v>
      </c>
      <c r="AO38" s="28">
        <f>IF(AO3&gt;0, AO3-(AO$30*VALORI!$B$4)-(AO$31*VALORI!$B$4)-(AO$32*VALORI!$B$3)-(AO$33*VALORI!$B$5),0)</f>
        <v>0</v>
      </c>
    </row>
    <row r="39" spans="15:45" ht="15.75" x14ac:dyDescent="0.25">
      <c r="O39" s="25">
        <v>0</v>
      </c>
      <c r="P39" s="25">
        <f>(O39*10%)+O39</f>
        <v>0</v>
      </c>
      <c r="Q39" s="25">
        <f t="shared" ref="Q39:Q50" si="13">(P39*4%)+P39</f>
        <v>0</v>
      </c>
      <c r="R39" s="25">
        <f t="shared" ref="R39:R50" si="14">(Q39*3%)+Q39</f>
        <v>0</v>
      </c>
      <c r="W39" s="28">
        <f>IF(W4&gt;0, W4-(W$30*VALORI!$B$4)-(W$31*VALORI!$B$4)-(W$32*VALORI!$B$3)-(W$33*VALORI!$B$5),0)</f>
        <v>0</v>
      </c>
      <c r="X39" s="28">
        <f>IF(X4&gt;0, X4-(X$30*VALORI!$B$4)-(X$31*VALORI!$B$4)-(X$32*VALORI!$B$3)-(X$33*VALORI!$B$5),0)</f>
        <v>0</v>
      </c>
      <c r="Y39" s="28">
        <f>IF(Y4&gt;0, Y4-(Y$30*VALORI!$B$4)-(Y$31*VALORI!$B$4)-(Y$32*VALORI!$B$3)-(Y$33*VALORI!$B$5),0)</f>
        <v>0</v>
      </c>
      <c r="Z39" s="28">
        <f>IF(Z4&gt;0, Z4-(Z$30*VALORI!$B$4)-(Z$31*VALORI!$B$4)-(Z$32*VALORI!$B$3)-(Z$33*VALORI!$B$5),0)</f>
        <v>0</v>
      </c>
      <c r="AA39" s="28">
        <f>IF(AA4&gt;0, AA4-(AA$30*VALORI!$B$4)-(AA$31*VALORI!$B$4)-(AA$32*VALORI!$B$3)-(AA$33*VALORI!$B$5),0)</f>
        <v>0</v>
      </c>
      <c r="AB39" s="28">
        <f>IF(AB4&gt;0, AB4-(AB$30*VALORI!$B$4)-(AB$31*VALORI!$B$4)-(AB$32*VALORI!$B$3)-(AB$33*VALORI!$B$5),0)</f>
        <v>0</v>
      </c>
      <c r="AC39" s="28">
        <f>IF(AC4&gt;0, AC4-(AC$30*VALORI!$B$4)-(AC$31*VALORI!$B$4)-(AC$32*VALORI!$B$3)-(AC$33*VALORI!$B$5),0)</f>
        <v>0</v>
      </c>
      <c r="AD39" s="28">
        <f>IF(AD4&gt;0, AD4-(AD$30*VALORI!$B$4)-(AD$31*VALORI!$B$4)-(AD$32*VALORI!$B$3)-(AD$33*VALORI!$B$5),0)</f>
        <v>0</v>
      </c>
      <c r="AE39" s="28">
        <f>IF(AE4&gt;0, AE4-(AE$30*VALORI!$B$4)-(AE$31*VALORI!$B$4)-(AE$32*VALORI!$B$3)-(AE$33*VALORI!$B$5),0)</f>
        <v>0</v>
      </c>
      <c r="AF39" s="28">
        <f>IF(AF4&gt;0, AF4-(AF$30*VALORI!$B$4)-(AF$31*VALORI!$B$4)-(AF$32*VALORI!$B$3)-(AF$33*VALORI!$B$5),0)</f>
        <v>0</v>
      </c>
      <c r="AG39" s="28">
        <f>IF(AG4&gt;0, AG4-(AG$30*VALORI!$B$4)-(AG$31*VALORI!$B$4)-(AG$32*VALORI!$B$3)-(AG$33*VALORI!$B$5),0)</f>
        <v>0</v>
      </c>
      <c r="AH39" s="28">
        <f>IF(AH4&gt;0, AH4-(AH$30*VALORI!$B$4)-(AH$31*VALORI!$B$4)-(AH$32*VALORI!$B$3)-(AH$33*VALORI!$B$5),0)</f>
        <v>0</v>
      </c>
      <c r="AI39" s="28">
        <f>IF(AI4&gt;0, AI4-(AI$30*VALORI!$B$4)-(AI$31*VALORI!$B$4)-(AI$32*VALORI!$B$3)-(AI$33*VALORI!$B$5),0)</f>
        <v>0</v>
      </c>
      <c r="AJ39" s="28">
        <f>IF(AJ4&gt;0, AJ4-(AJ$30*VALORI!$B$4)-(AJ$31*VALORI!$B$4)-(AJ$32*VALORI!$B$3)-(AJ$33*VALORI!$B$5),0)</f>
        <v>0</v>
      </c>
      <c r="AK39" s="28">
        <f>IF(AK4&gt;0, AK4-(AK$30*VALORI!$B$4)-(AK$31*VALORI!$B$4)-(AK$32*VALORI!$B$3)-(AK$33*VALORI!$B$5),0)</f>
        <v>0</v>
      </c>
      <c r="AL39" s="28">
        <f>IF(AL4&gt;0, AL4-(AL$30*VALORI!$B$4)-(AL$31*VALORI!$B$4)-(AL$32*VALORI!$B$3)-(AL$33*VALORI!$B$5),0)</f>
        <v>0</v>
      </c>
      <c r="AM39" s="28">
        <f>IF(AM4&gt;0, AM4-(AM$30*VALORI!$B$4)-(AM$31*VALORI!$B$4)-(AM$32*VALORI!$B$3)-(AM$33*VALORI!$B$5),0)</f>
        <v>0</v>
      </c>
      <c r="AN39" s="28">
        <f>IF(AN4&gt;0, AN4-(AN$30*VALORI!$B$4)-(AN$31*VALORI!$B$4)-(AN$32*VALORI!$B$3)-(AN$33*VALORI!$B$5),0)</f>
        <v>0</v>
      </c>
      <c r="AO39" s="28">
        <f>IF(AO4&gt;0, AO4-(AO$30*VALORI!$B$4)-(AO$31*VALORI!$B$4)-(AO$32*VALORI!$B$3)-(AO$33*VALORI!$B$5),0)</f>
        <v>0</v>
      </c>
    </row>
    <row r="40" spans="15:45" ht="15.75" x14ac:dyDescent="0.25">
      <c r="O40" s="25">
        <v>61950</v>
      </c>
      <c r="P40" s="25">
        <f t="shared" ref="P40:P50" si="15">(O40*10%)+O40</f>
        <v>68145</v>
      </c>
      <c r="Q40" s="25">
        <f t="shared" si="13"/>
        <v>70870.8</v>
      </c>
      <c r="R40" s="25">
        <f t="shared" si="14"/>
        <v>72996.923999999999</v>
      </c>
      <c r="W40" s="28">
        <f>IF(W5&gt;0, W5-(W$30*VALORI!$B$4)-(W$31*VALORI!$B$4)-(W$32*VALORI!$B$3)-(W$33*VALORI!$B$5),0)</f>
        <v>3139.8154399999994</v>
      </c>
      <c r="X40" s="28">
        <f>IF(X5&gt;0, X5-(X$30*VALORI!$B$4)-(X$31*VALORI!$B$4)-(X$32*VALORI!$B$3)-(X$33*VALORI!$B$5),0)</f>
        <v>10879.3848</v>
      </c>
      <c r="Y40" s="28">
        <f>IF(Y5&gt;0, Y5-(Y$30*VALORI!$B$4)-(Y$31*VALORI!$B$4)-(Y$32*VALORI!$B$3)-(Y$33*VALORI!$B$5),0)</f>
        <v>5008</v>
      </c>
      <c r="Z40" s="28">
        <f>IF(Z5&gt;0, Z5-(Z$30*VALORI!$B$4)-(Z$31*VALORI!$B$4)-(Z$32*VALORI!$B$3)-(Z$33*VALORI!$B$5),0)</f>
        <v>8908</v>
      </c>
      <c r="AA40" s="28">
        <f>IF(AA5&gt;0, AA5-(AA$30*VALORI!$B$4)-(AA$31*VALORI!$B$4)-(AA$32*VALORI!$B$3)-(AA$33*VALORI!$B$5),0)</f>
        <v>2924</v>
      </c>
      <c r="AB40" s="28">
        <f>IF(AB5&gt;0, AB5-(AB$30*VALORI!$B$4)-(AB$31*VALORI!$B$4)-(AB$32*VALORI!$B$3)-(AB$33*VALORI!$B$5),0)</f>
        <v>5397</v>
      </c>
      <c r="AC40" s="28">
        <f>IF(AC5&gt;0, AC5-(AC$30*VALORI!$B$4)-(AC$31*VALORI!$B$4)-(AC$32*VALORI!$B$3)-(AC$33*VALORI!$B$5),0)</f>
        <v>506</v>
      </c>
      <c r="AD40" s="28">
        <f>IF(AD5&gt;0, AD5-(AD$30*VALORI!$B$4)-(AD$31*VALORI!$B$4)-(AD$32*VALORI!$B$3)-(AD$33*VALORI!$B$5),0)</f>
        <v>5646</v>
      </c>
      <c r="AE40" s="28">
        <f>IF(AE5&gt;0, AE5-(AE$30*VALORI!$B$4)-(AE$31*VALORI!$B$4)-(AE$32*VALORI!$B$3)-(AE$33*VALORI!$B$5),0)</f>
        <v>932</v>
      </c>
      <c r="AF40" s="28">
        <f>IF(AF5&gt;0, AF5-(AF$30*VALORI!$B$4)-(AF$31*VALORI!$B$4)-(AF$32*VALORI!$B$3)-(AF$33*VALORI!$B$5),0)</f>
        <v>1677</v>
      </c>
      <c r="AG40" s="28">
        <f>IF(AG5&gt;0, AG5-(AG$30*VALORI!$B$4)-(AG$31*VALORI!$B$4)-(AG$32*VALORI!$B$3)-(AG$33*VALORI!$B$5),0)</f>
        <v>-23</v>
      </c>
      <c r="AH40" s="28">
        <f>IF(AH5&gt;0, AH5-(AH$30*VALORI!$B$4)-(AH$31*VALORI!$B$4)-(AH$32*VALORI!$B$3)-(AH$33*VALORI!$B$5),0)</f>
        <v>1852</v>
      </c>
      <c r="AI40" s="28">
        <f>IF(AI5&gt;0, AI5-(AI$30*VALORI!$B$4)-(AI$31*VALORI!$B$4)-(AI$32*VALORI!$B$3)-(AI$33*VALORI!$B$5),0)</f>
        <v>500</v>
      </c>
      <c r="AJ40" s="28">
        <f>IF(AJ5&gt;0, AJ5-(AJ$30*VALORI!$B$4)-(AJ$31*VALORI!$B$4)-(AJ$32*VALORI!$B$3)-(AJ$33*VALORI!$B$5),0)</f>
        <v>0</v>
      </c>
      <c r="AK40" s="28">
        <f>IF(AK5&gt;0, AK5-(AK$30*VALORI!$B$4)-(AK$31*VALORI!$B$4)-(AK$32*VALORI!$B$3)-(AK$33*VALORI!$B$5),0)</f>
        <v>0</v>
      </c>
      <c r="AL40" s="28">
        <f>IF(AL5&gt;0, AL5-(AL$30*VALORI!$B$4)-(AL$31*VALORI!$B$4)-(AL$32*VALORI!$B$3)-(AL$33*VALORI!$B$5),0)</f>
        <v>0</v>
      </c>
      <c r="AM40" s="28">
        <f>IF(AM5&gt;0, AM5-(AM$30*VALORI!$B$4)-(AM$31*VALORI!$B$4)-(AM$32*VALORI!$B$3)-(AM$33*VALORI!$B$5),0)</f>
        <v>7358</v>
      </c>
      <c r="AN40" s="28">
        <f>IF(AN5&gt;0, AN5-(AN$30*VALORI!$B$4)-(AN$31*VALORI!$B$4)-(AN$32*VALORI!$B$3)-(AN$33*VALORI!$B$5),0)</f>
        <v>0</v>
      </c>
      <c r="AO40" s="28">
        <f>IF(AO5&gt;0, AO5-(AO$30*VALORI!$B$4)-(AO$31*VALORI!$B$4)-(AO$32*VALORI!$B$3)-(AO$33*VALORI!$B$5),0)</f>
        <v>-1084</v>
      </c>
    </row>
    <row r="41" spans="15:45" ht="15.75" x14ac:dyDescent="0.25">
      <c r="O41" s="25">
        <v>64050</v>
      </c>
      <c r="P41" s="25">
        <f t="shared" si="15"/>
        <v>70455</v>
      </c>
      <c r="Q41" s="25">
        <f t="shared" si="13"/>
        <v>73273.2</v>
      </c>
      <c r="R41" s="25">
        <f t="shared" si="14"/>
        <v>75471.395999999993</v>
      </c>
      <c r="W41" s="28">
        <f>IF(W6&gt;0, W6-(W$30*VALORI!$B$4)-(W$31*VALORI!$B$4)-(W$32*VALORI!$B$3)-(W$33*VALORI!$B$5),0)</f>
        <v>3288.2837599999993</v>
      </c>
      <c r="X41" s="28">
        <f>IF(X6&gt;0, X6-(X$30*VALORI!$B$4)-(X$31*VALORI!$B$4)-(X$32*VALORI!$B$3)-(X$33*VALORI!$B$5),0)</f>
        <v>11374.279199999999</v>
      </c>
      <c r="Y41" s="28">
        <f>IF(Y6&gt;0, Y6-(Y$30*VALORI!$B$4)-(Y$31*VALORI!$B$4)-(Y$32*VALORI!$B$3)-(Y$33*VALORI!$B$5),0)</f>
        <v>7008</v>
      </c>
      <c r="Z41" s="28">
        <f>IF(Z6&gt;0, Z6-(Z$30*VALORI!$B$4)-(Z$31*VALORI!$B$4)-(Z$32*VALORI!$B$3)-(Z$33*VALORI!$B$5),0)</f>
        <v>12208</v>
      </c>
      <c r="AA41" s="28">
        <f>IF(AA6&gt;0, AA6-(AA$30*VALORI!$B$4)-(AA$31*VALORI!$B$4)-(AA$32*VALORI!$B$3)-(AA$33*VALORI!$B$5),0)</f>
        <v>2924</v>
      </c>
      <c r="AB41" s="28">
        <f>IF(AB6&gt;0, AB6-(AB$30*VALORI!$B$4)-(AB$31*VALORI!$B$4)-(AB$32*VALORI!$B$3)-(AB$33*VALORI!$B$5),0)</f>
        <v>5397</v>
      </c>
      <c r="AC41" s="28">
        <f>IF(AC6&gt;0, AC6-(AC$30*VALORI!$B$4)-(AC$31*VALORI!$B$4)-(AC$32*VALORI!$B$3)-(AC$33*VALORI!$B$5),0)</f>
        <v>506</v>
      </c>
      <c r="AD41" s="28">
        <f>IF(AD6&gt;0, AD6-(AD$30*VALORI!$B$4)-(AD$31*VALORI!$B$4)-(AD$32*VALORI!$B$3)-(AD$33*VALORI!$B$5),0)</f>
        <v>5646</v>
      </c>
      <c r="AE41" s="28">
        <f>IF(AE6&gt;0, AE6-(AE$30*VALORI!$B$4)-(AE$31*VALORI!$B$4)-(AE$32*VALORI!$B$3)-(AE$33*VALORI!$B$5),0)</f>
        <v>932</v>
      </c>
      <c r="AF41" s="28">
        <f>IF(AF6&gt;0, AF6-(AF$30*VALORI!$B$4)-(AF$31*VALORI!$B$4)-(AF$32*VALORI!$B$3)-(AF$33*VALORI!$B$5),0)</f>
        <v>1677</v>
      </c>
      <c r="AG41" s="28">
        <f>IF(AG6&gt;0, AG6-(AG$30*VALORI!$B$4)-(AG$31*VALORI!$B$4)-(AG$32*VALORI!$B$3)-(AG$33*VALORI!$B$5),0)</f>
        <v>-23</v>
      </c>
      <c r="AH41" s="28">
        <f>IF(AH6&gt;0, AH6-(AH$30*VALORI!$B$4)-(AH$31*VALORI!$B$4)-(AH$32*VALORI!$B$3)-(AH$33*VALORI!$B$5),0)</f>
        <v>1852</v>
      </c>
      <c r="AI41" s="28">
        <f>IF(AI6&gt;0, AI6-(AI$30*VALORI!$B$4)-(AI$31*VALORI!$B$4)-(AI$32*VALORI!$B$3)-(AI$33*VALORI!$B$5),0)</f>
        <v>500</v>
      </c>
      <c r="AJ41" s="28">
        <f>IF(AJ6&gt;0, AJ6-(AJ$30*VALORI!$B$4)-(AJ$31*VALORI!$B$4)-(AJ$32*VALORI!$B$3)-(AJ$33*VALORI!$B$5),0)</f>
        <v>0</v>
      </c>
      <c r="AK41" s="28">
        <f>IF(AK6&gt;0, AK6-(AK$30*VALORI!$B$4)-(AK$31*VALORI!$B$4)-(AK$32*VALORI!$B$3)-(AK$33*VALORI!$B$5),0)</f>
        <v>0</v>
      </c>
      <c r="AL41" s="28">
        <f>IF(AL6&gt;0, AL6-(AL$30*VALORI!$B$4)-(AL$31*VALORI!$B$4)-(AL$32*VALORI!$B$3)-(AL$33*VALORI!$B$5),0)</f>
        <v>0</v>
      </c>
      <c r="AM41" s="28">
        <f>IF(AM6&gt;0, AM6-(AM$30*VALORI!$B$4)-(AM$31*VALORI!$B$4)-(AM$32*VALORI!$B$3)-(AM$33*VALORI!$B$5),0)</f>
        <v>7358</v>
      </c>
      <c r="AN41" s="28">
        <f>IF(AN6&gt;0, AN6-(AN$30*VALORI!$B$4)-(AN$31*VALORI!$B$4)-(AN$32*VALORI!$B$3)-(AN$33*VALORI!$B$5),0)</f>
        <v>0</v>
      </c>
      <c r="AO41" s="28">
        <f>IF(AO6&gt;0, AO6-(AO$30*VALORI!$B$4)-(AO$31*VALORI!$B$4)-(AO$32*VALORI!$B$3)-(AO$33*VALORI!$B$5),0)</f>
        <v>-1084</v>
      </c>
    </row>
    <row r="42" spans="15:45" ht="15.75" x14ac:dyDescent="0.25">
      <c r="O42" s="25">
        <v>69300</v>
      </c>
      <c r="P42" s="25">
        <f t="shared" si="15"/>
        <v>76230</v>
      </c>
      <c r="Q42" s="25">
        <f t="shared" si="13"/>
        <v>79279.199999999997</v>
      </c>
      <c r="R42" s="25">
        <f t="shared" si="14"/>
        <v>81657.576000000001</v>
      </c>
      <c r="W42" s="28">
        <f>IF(W7&gt;0, W7-(W$30*VALORI!$B$4)-(W$31*VALORI!$B$4)-(W$32*VALORI!$B$3)-(W$33*VALORI!$B$5),0)</f>
        <v>3659.4545600000001</v>
      </c>
      <c r="X42" s="28">
        <f>IF(X7&gt;0, X7-(X$30*VALORI!$B$4)-(X$31*VALORI!$B$4)-(X$32*VALORI!$B$3)-(X$33*VALORI!$B$5),0)</f>
        <v>12611.515200000002</v>
      </c>
      <c r="Y42" s="28">
        <f>IF(Y7&gt;0, Y7-(Y$30*VALORI!$B$4)-(Y$31*VALORI!$B$4)-(Y$32*VALORI!$B$3)-(Y$33*VALORI!$B$5),0)</f>
        <v>7008</v>
      </c>
      <c r="Z42" s="28">
        <f>IF(Z7&gt;0, Z7-(Z$30*VALORI!$B$4)-(Z$31*VALORI!$B$4)-(Z$32*VALORI!$B$3)-(Z$33*VALORI!$B$5),0)</f>
        <v>12208</v>
      </c>
      <c r="AA42" s="28">
        <f>IF(AA7&gt;0, AA7-(AA$30*VALORI!$B$4)-(AA$31*VALORI!$B$4)-(AA$32*VALORI!$B$3)-(AA$33*VALORI!$B$5),0)</f>
        <v>2924</v>
      </c>
      <c r="AB42" s="28">
        <f>IF(AB7&gt;0, AB7-(AB$30*VALORI!$B$4)-(AB$31*VALORI!$B$4)-(AB$32*VALORI!$B$3)-(AB$33*VALORI!$B$5),0)</f>
        <v>5397</v>
      </c>
      <c r="AC42" s="28">
        <f>IF(AC7&gt;0, AC7-(AC$30*VALORI!$B$4)-(AC$31*VALORI!$B$4)-(AC$32*VALORI!$B$3)-(AC$33*VALORI!$B$5),0)</f>
        <v>506</v>
      </c>
      <c r="AD42" s="28">
        <f>IF(AD7&gt;0, AD7-(AD$30*VALORI!$B$4)-(AD$31*VALORI!$B$4)-(AD$32*VALORI!$B$3)-(AD$33*VALORI!$B$5),0)</f>
        <v>5646</v>
      </c>
      <c r="AE42" s="28">
        <f>IF(AE7&gt;0, AE7-(AE$30*VALORI!$B$4)-(AE$31*VALORI!$B$4)-(AE$32*VALORI!$B$3)-(AE$33*VALORI!$B$5),0)</f>
        <v>932</v>
      </c>
      <c r="AF42" s="28">
        <f>IF(AF7&gt;0, AF7-(AF$30*VALORI!$B$4)-(AF$31*VALORI!$B$4)-(AF$32*VALORI!$B$3)-(AF$33*VALORI!$B$5),0)</f>
        <v>1677</v>
      </c>
      <c r="AG42" s="28">
        <f>IF(AG7&gt;0, AG7-(AG$30*VALORI!$B$4)-(AG$31*VALORI!$B$4)-(AG$32*VALORI!$B$3)-(AG$33*VALORI!$B$5),0)</f>
        <v>-23</v>
      </c>
      <c r="AH42" s="28">
        <f>IF(AH7&gt;0, AH7-(AH$30*VALORI!$B$4)-(AH$31*VALORI!$B$4)-(AH$32*VALORI!$B$3)-(AH$33*VALORI!$B$5),0)</f>
        <v>3852</v>
      </c>
      <c r="AI42" s="28">
        <f>IF(AI7&gt;0, AI7-(AI$30*VALORI!$B$4)-(AI$31*VALORI!$B$4)-(AI$32*VALORI!$B$3)-(AI$33*VALORI!$B$5),0)</f>
        <v>500</v>
      </c>
      <c r="AJ42" s="28">
        <f>IF(AJ7&gt;0, AJ7-(AJ$30*VALORI!$B$4)-(AJ$31*VALORI!$B$4)-(AJ$32*VALORI!$B$3)-(AJ$33*VALORI!$B$5),0)</f>
        <v>0</v>
      </c>
      <c r="AK42" s="28">
        <f>IF(AK7&gt;0, AK7-(AK$30*VALORI!$B$4)-(AK$31*VALORI!$B$4)-(AK$32*VALORI!$B$3)-(AK$33*VALORI!$B$5),0)</f>
        <v>0</v>
      </c>
      <c r="AL42" s="28">
        <f>IF(AL7&gt;0, AL7-(AL$30*VALORI!$B$4)-(AL$31*VALORI!$B$4)-(AL$32*VALORI!$B$3)-(AL$33*VALORI!$B$5),0)</f>
        <v>0</v>
      </c>
      <c r="AM42" s="28">
        <f>IF(AM7&gt;0, AM7-(AM$30*VALORI!$B$4)-(AM$31*VALORI!$B$4)-(AM$32*VALORI!$B$3)-(AM$33*VALORI!$B$5),0)</f>
        <v>7358</v>
      </c>
      <c r="AN42" s="28">
        <f>IF(AN7&gt;0, AN7-(AN$30*VALORI!$B$4)-(AN$31*VALORI!$B$4)-(AN$32*VALORI!$B$3)-(AN$33*VALORI!$B$5),0)</f>
        <v>0</v>
      </c>
      <c r="AO42" s="28">
        <f>IF(AO7&gt;0, AO7-(AO$30*VALORI!$B$4)-(AO$31*VALORI!$B$4)-(AO$32*VALORI!$B$3)-(AO$33*VALORI!$B$5),0)</f>
        <v>-1084</v>
      </c>
    </row>
    <row r="43" spans="15:45" ht="15.75" x14ac:dyDescent="0.25">
      <c r="O43" s="25">
        <v>75600</v>
      </c>
      <c r="P43" s="25">
        <f t="shared" si="15"/>
        <v>83160</v>
      </c>
      <c r="Q43" s="25">
        <f t="shared" si="13"/>
        <v>86486.399999999994</v>
      </c>
      <c r="R43" s="25">
        <f t="shared" si="14"/>
        <v>89080.991999999998</v>
      </c>
      <c r="W43" s="28">
        <f>IF(W8&gt;0, W8-(W$30*VALORI!$B$4)-(W$31*VALORI!$B$4)-(W$32*VALORI!$B$3)-(W$33*VALORI!$B$5),0)</f>
        <v>4104.85952</v>
      </c>
      <c r="X43" s="28">
        <f>IF(X8&gt;0, X8-(X$30*VALORI!$B$4)-(X$31*VALORI!$B$4)-(X$32*VALORI!$B$3)-(X$33*VALORI!$B$5),0)</f>
        <v>14096.198400000001</v>
      </c>
      <c r="Y43" s="28">
        <f>IF(Y8&gt;0, Y8-(Y$30*VALORI!$B$4)-(Y$31*VALORI!$B$4)-(Y$32*VALORI!$B$3)-(Y$33*VALORI!$B$5),0)</f>
        <v>9008</v>
      </c>
      <c r="Z43" s="28">
        <f>IF(Z8&gt;0, Z8-(Z$30*VALORI!$B$4)-(Z$31*VALORI!$B$4)-(Z$32*VALORI!$B$3)-(Z$33*VALORI!$B$5),0)</f>
        <v>15508</v>
      </c>
      <c r="AA43" s="28">
        <f>IF(AA8&gt;0, AA8-(AA$30*VALORI!$B$4)-(AA$31*VALORI!$B$4)-(AA$32*VALORI!$B$3)-(AA$33*VALORI!$B$5),0)</f>
        <v>2924</v>
      </c>
      <c r="AB43" s="28">
        <f>IF(AB8&gt;0, AB8-(AB$30*VALORI!$B$4)-(AB$31*VALORI!$B$4)-(AB$32*VALORI!$B$3)-(AB$33*VALORI!$B$5),0)</f>
        <v>5397</v>
      </c>
      <c r="AC43" s="28">
        <f>IF(AC8&gt;0, AC8-(AC$30*VALORI!$B$4)-(AC$31*VALORI!$B$4)-(AC$32*VALORI!$B$3)-(AC$33*VALORI!$B$5),0)</f>
        <v>506</v>
      </c>
      <c r="AD43" s="28">
        <f>IF(AD8&gt;0, AD8-(AD$30*VALORI!$B$4)-(AD$31*VALORI!$B$4)-(AD$32*VALORI!$B$3)-(AD$33*VALORI!$B$5),0)</f>
        <v>5646</v>
      </c>
      <c r="AE43" s="28">
        <f>IF(AE8&gt;0, AE8-(AE$30*VALORI!$B$4)-(AE$31*VALORI!$B$4)-(AE$32*VALORI!$B$3)-(AE$33*VALORI!$B$5),0)</f>
        <v>932</v>
      </c>
      <c r="AF43" s="28">
        <f>IF(AF8&gt;0, AF8-(AF$30*VALORI!$B$4)-(AF$31*VALORI!$B$4)-(AF$32*VALORI!$B$3)-(AF$33*VALORI!$B$5),0)</f>
        <v>1677</v>
      </c>
      <c r="AG43" s="28">
        <f>IF(AG8&gt;0, AG8-(AG$30*VALORI!$B$4)-(AG$31*VALORI!$B$4)-(AG$32*VALORI!$B$3)-(AG$33*VALORI!$B$5),0)</f>
        <v>-23</v>
      </c>
      <c r="AH43" s="28">
        <f>IF(AH8&gt;0, AH8-(AH$30*VALORI!$B$4)-(AH$31*VALORI!$B$4)-(AH$32*VALORI!$B$3)-(AH$33*VALORI!$B$5),0)</f>
        <v>3852</v>
      </c>
      <c r="AI43" s="28">
        <f>IF(AI8&gt;0, AI8-(AI$30*VALORI!$B$4)-(AI$31*VALORI!$B$4)-(AI$32*VALORI!$B$3)-(AI$33*VALORI!$B$5),0)</f>
        <v>2600</v>
      </c>
      <c r="AJ43" s="28">
        <f>IF(AJ8&gt;0, AJ8-(AJ$30*VALORI!$B$4)-(AJ$31*VALORI!$B$4)-(AJ$32*VALORI!$B$3)-(AJ$33*VALORI!$B$5),0)</f>
        <v>0</v>
      </c>
      <c r="AK43" s="28">
        <f>IF(AK8&gt;0, AK8-(AK$30*VALORI!$B$4)-(AK$31*VALORI!$B$4)-(AK$32*VALORI!$B$3)-(AK$33*VALORI!$B$5),0)</f>
        <v>0</v>
      </c>
      <c r="AL43" s="28">
        <f>IF(AL8&gt;0, AL8-(AL$30*VALORI!$B$4)-(AL$31*VALORI!$B$4)-(AL$32*VALORI!$B$3)-(AL$33*VALORI!$B$5),0)</f>
        <v>0</v>
      </c>
      <c r="AM43" s="28">
        <f>IF(AM8&gt;0, AM8-(AM$30*VALORI!$B$4)-(AM$31*VALORI!$B$4)-(AM$32*VALORI!$B$3)-(AM$33*VALORI!$B$5),0)</f>
        <v>7358</v>
      </c>
      <c r="AN43" s="28">
        <f>IF(AN8&gt;0, AN8-(AN$30*VALORI!$B$4)-(AN$31*VALORI!$B$4)-(AN$32*VALORI!$B$3)-(AN$33*VALORI!$B$5),0)</f>
        <v>0</v>
      </c>
      <c r="AO43" s="28">
        <f>IF(AO8&gt;0, AO8-(AO$30*VALORI!$B$4)-(AO$31*VALORI!$B$4)-(AO$32*VALORI!$B$3)-(AO$33*VALORI!$B$5),0)</f>
        <v>-684</v>
      </c>
    </row>
    <row r="44" spans="15:45" ht="15.75" x14ac:dyDescent="0.25">
      <c r="O44" s="25">
        <v>81900</v>
      </c>
      <c r="P44" s="25">
        <f t="shared" si="15"/>
        <v>90090</v>
      </c>
      <c r="Q44" s="25">
        <f t="shared" si="13"/>
        <v>93693.6</v>
      </c>
      <c r="R44" s="25">
        <f t="shared" si="14"/>
        <v>96504.40800000001</v>
      </c>
      <c r="W44" s="28">
        <f>IF(W9&gt;0, W9-(W$30*VALORI!$B$4)-(W$31*VALORI!$B$4)-(W$32*VALORI!$B$3)-(W$33*VALORI!$B$5),0)</f>
        <v>4550.2644800000007</v>
      </c>
      <c r="X44" s="28">
        <f>IF(X9&gt;0, X9-(X$30*VALORI!$B$4)-(X$31*VALORI!$B$4)-(X$32*VALORI!$B$3)-(X$33*VALORI!$B$5),0)</f>
        <v>15580.881600000004</v>
      </c>
      <c r="Y44" s="28">
        <f>IF(Y9&gt;0, Y9-(Y$30*VALORI!$B$4)-(Y$31*VALORI!$B$4)-(Y$32*VALORI!$B$3)-(Y$33*VALORI!$B$5),0)</f>
        <v>9008</v>
      </c>
      <c r="Z44" s="28">
        <f>IF(Z9&gt;0, Z9-(Z$30*VALORI!$B$4)-(Z$31*VALORI!$B$4)-(Z$32*VALORI!$B$3)-(Z$33*VALORI!$B$5),0)</f>
        <v>15508</v>
      </c>
      <c r="AA44" s="28">
        <f>IF(AA9&gt;0, AA9-(AA$30*VALORI!$B$4)-(AA$31*VALORI!$B$4)-(AA$32*VALORI!$B$3)-(AA$33*VALORI!$B$5),0)</f>
        <v>2924</v>
      </c>
      <c r="AB44" s="28">
        <f>IF(AB9&gt;0, AB9-(AB$30*VALORI!$B$4)-(AB$31*VALORI!$B$4)-(AB$32*VALORI!$B$3)-(AB$33*VALORI!$B$5),0)</f>
        <v>5397</v>
      </c>
      <c r="AC44" s="28">
        <f>IF(AC9&gt;0, AC9-(AC$30*VALORI!$B$4)-(AC$31*VALORI!$B$4)-(AC$32*VALORI!$B$3)-(AC$33*VALORI!$B$5),0)</f>
        <v>506</v>
      </c>
      <c r="AD44" s="28">
        <f>IF(AD9&gt;0, AD9-(AD$30*VALORI!$B$4)-(AD$31*VALORI!$B$4)-(AD$32*VALORI!$B$3)-(AD$33*VALORI!$B$5),0)</f>
        <v>5646</v>
      </c>
      <c r="AE44" s="28">
        <f>IF(AE9&gt;0, AE9-(AE$30*VALORI!$B$4)-(AE$31*VALORI!$B$4)-(AE$32*VALORI!$B$3)-(AE$33*VALORI!$B$5),0)</f>
        <v>932</v>
      </c>
      <c r="AF44" s="28">
        <f>IF(AF9&gt;0, AF9-(AF$30*VALORI!$B$4)-(AF$31*VALORI!$B$4)-(AF$32*VALORI!$B$3)-(AF$33*VALORI!$B$5),0)</f>
        <v>1677</v>
      </c>
      <c r="AG44" s="28">
        <f>IF(AG9&gt;0, AG9-(AG$30*VALORI!$B$4)-(AG$31*VALORI!$B$4)-(AG$32*VALORI!$B$3)-(AG$33*VALORI!$B$5),0)</f>
        <v>-23</v>
      </c>
      <c r="AH44" s="28">
        <f>IF(AH9&gt;0, AH9-(AH$30*VALORI!$B$4)-(AH$31*VALORI!$B$4)-(AH$32*VALORI!$B$3)-(AH$33*VALORI!$B$5),0)</f>
        <v>4852</v>
      </c>
      <c r="AI44" s="28">
        <f>IF(AI9&gt;0, AI9-(AI$30*VALORI!$B$4)-(AI$31*VALORI!$B$4)-(AI$32*VALORI!$B$3)-(AI$33*VALORI!$B$5),0)</f>
        <v>2600</v>
      </c>
      <c r="AJ44" s="28">
        <f>IF(AJ9&gt;0, AJ9-(AJ$30*VALORI!$B$4)-(AJ$31*VALORI!$B$4)-(AJ$32*VALORI!$B$3)-(AJ$33*VALORI!$B$5),0)</f>
        <v>0</v>
      </c>
      <c r="AK44" s="28">
        <f>IF(AK9&gt;0, AK9-(AK$30*VALORI!$B$4)-(AK$31*VALORI!$B$4)-(AK$32*VALORI!$B$3)-(AK$33*VALORI!$B$5),0)</f>
        <v>0</v>
      </c>
      <c r="AL44" s="28">
        <f>IF(AL9&gt;0, AL9-(AL$30*VALORI!$B$4)-(AL$31*VALORI!$B$4)-(AL$32*VALORI!$B$3)-(AL$33*VALORI!$B$5),0)</f>
        <v>0</v>
      </c>
      <c r="AM44" s="28">
        <f>IF(AM9&gt;0, AM9-(AM$30*VALORI!$B$4)-(AM$31*VALORI!$B$4)-(AM$32*VALORI!$B$3)-(AM$33*VALORI!$B$5),0)</f>
        <v>7358</v>
      </c>
      <c r="AN44" s="28">
        <f>IF(AN9&gt;0, AN9-(AN$30*VALORI!$B$4)-(AN$31*VALORI!$B$4)-(AN$32*VALORI!$B$3)-(AN$33*VALORI!$B$5),0)</f>
        <v>0</v>
      </c>
      <c r="AO44" s="28">
        <f>IF(AO9&gt;0, AO9-(AO$30*VALORI!$B$4)-(AO$31*VALORI!$B$4)-(AO$32*VALORI!$B$3)-(AO$33*VALORI!$B$5),0)</f>
        <v>-684</v>
      </c>
    </row>
    <row r="45" spans="15:45" ht="15.75" x14ac:dyDescent="0.25">
      <c r="O45" s="25">
        <v>84000</v>
      </c>
      <c r="P45" s="25">
        <f t="shared" si="15"/>
        <v>92400</v>
      </c>
      <c r="Q45" s="25">
        <f t="shared" si="13"/>
        <v>96096</v>
      </c>
      <c r="R45" s="25">
        <f t="shared" si="14"/>
        <v>98978.880000000005</v>
      </c>
      <c r="W45" s="28">
        <f>IF(W10&gt;0, W10-(W$30*VALORI!$B$4)-(W$31*VALORI!$B$4)-(W$32*VALORI!$B$3)-(W$33*VALORI!$B$5),0)</f>
        <v>4698.7327999999998</v>
      </c>
      <c r="X45" s="28">
        <f>IF(X10&gt;0, X10-(X$30*VALORI!$B$4)-(X$31*VALORI!$B$4)-(X$32*VALORI!$B$3)-(X$33*VALORI!$B$5),0)</f>
        <v>16075.776000000002</v>
      </c>
      <c r="Y45" s="28">
        <f>IF(Y10&gt;0, Y10-(Y$30*VALORI!$B$4)-(Y$31*VALORI!$B$4)-(Y$32*VALORI!$B$3)-(Y$33*VALORI!$B$5),0)</f>
        <v>9008</v>
      </c>
      <c r="Z45" s="28">
        <f>IF(Z10&gt;0, Z10-(Z$30*VALORI!$B$4)-(Z$31*VALORI!$B$4)-(Z$32*VALORI!$B$3)-(Z$33*VALORI!$B$5),0)</f>
        <v>15508</v>
      </c>
      <c r="AA45" s="28">
        <f>IF(AA10&gt;0, AA10-(AA$30*VALORI!$B$4)-(AA$31*VALORI!$B$4)-(AA$32*VALORI!$B$3)-(AA$33*VALORI!$B$5),0)</f>
        <v>2924</v>
      </c>
      <c r="AB45" s="28">
        <f>IF(AB10&gt;0, AB10-(AB$30*VALORI!$B$4)-(AB$31*VALORI!$B$4)-(AB$32*VALORI!$B$3)-(AB$33*VALORI!$B$5),0)</f>
        <v>5397</v>
      </c>
      <c r="AC45" s="28">
        <f>IF(AC10&gt;0, AC10-(AC$30*VALORI!$B$4)-(AC$31*VALORI!$B$4)-(AC$32*VALORI!$B$3)-(AC$33*VALORI!$B$5),0)</f>
        <v>506</v>
      </c>
      <c r="AD45" s="28">
        <f>IF(AD10&gt;0, AD10-(AD$30*VALORI!$B$4)-(AD$31*VALORI!$B$4)-(AD$32*VALORI!$B$3)-(AD$33*VALORI!$B$5),0)</f>
        <v>5646</v>
      </c>
      <c r="AE45" s="28">
        <f>IF(AE10&gt;0, AE10-(AE$30*VALORI!$B$4)-(AE$31*VALORI!$B$4)-(AE$32*VALORI!$B$3)-(AE$33*VALORI!$B$5),0)</f>
        <v>932</v>
      </c>
      <c r="AF45" s="28">
        <f>IF(AF10&gt;0, AF10-(AF$30*VALORI!$B$4)-(AF$31*VALORI!$B$4)-(AF$32*VALORI!$B$3)-(AF$33*VALORI!$B$5),0)</f>
        <v>1677</v>
      </c>
      <c r="AG45" s="28">
        <f>IF(AG10&gt;0, AG10-(AG$30*VALORI!$B$4)-(AG$31*VALORI!$B$4)-(AG$32*VALORI!$B$3)-(AG$33*VALORI!$B$5),0)</f>
        <v>-23</v>
      </c>
      <c r="AH45" s="28">
        <f>IF(AH10&gt;0, AH10-(AH$30*VALORI!$B$4)-(AH$31*VALORI!$B$4)-(AH$32*VALORI!$B$3)-(AH$33*VALORI!$B$5),0)</f>
        <v>4852</v>
      </c>
      <c r="AI45" s="28">
        <f>IF(AI10&gt;0, AI10-(AI$30*VALORI!$B$4)-(AI$31*VALORI!$B$4)-(AI$32*VALORI!$B$3)-(AI$33*VALORI!$B$5),0)</f>
        <v>2600</v>
      </c>
      <c r="AJ45" s="28">
        <f>IF(AJ10&gt;0, AJ10-(AJ$30*VALORI!$B$4)-(AJ$31*VALORI!$B$4)-(AJ$32*VALORI!$B$3)-(AJ$33*VALORI!$B$5),0)</f>
        <v>0</v>
      </c>
      <c r="AK45" s="28">
        <f>IF(AK10&gt;0, AK10-(AK$30*VALORI!$B$4)-(AK$31*VALORI!$B$4)-(AK$32*VALORI!$B$3)-(AK$33*VALORI!$B$5),0)</f>
        <v>0</v>
      </c>
      <c r="AL45" s="28">
        <f>IF(AL10&gt;0, AL10-(AL$30*VALORI!$B$4)-(AL$31*VALORI!$B$4)-(AL$32*VALORI!$B$3)-(AL$33*VALORI!$B$5),0)</f>
        <v>0</v>
      </c>
      <c r="AM45" s="28">
        <f>IF(AM10&gt;0, AM10-(AM$30*VALORI!$B$4)-(AM$31*VALORI!$B$4)-(AM$32*VALORI!$B$3)-(AM$33*VALORI!$B$5),0)</f>
        <v>7358</v>
      </c>
      <c r="AN45" s="28">
        <f>IF(AN10&gt;0, AN10-(AN$30*VALORI!$B$4)-(AN$31*VALORI!$B$4)-(AN$32*VALORI!$B$3)-(AN$33*VALORI!$B$5),0)</f>
        <v>0</v>
      </c>
      <c r="AO45" s="28">
        <f>IF(AO10&gt;0, AO10-(AO$30*VALORI!$B$4)-(AO$31*VALORI!$B$4)-(AO$32*VALORI!$B$3)-(AO$33*VALORI!$B$5),0)</f>
        <v>-684</v>
      </c>
    </row>
    <row r="46" spans="15:45" ht="15.75" x14ac:dyDescent="0.25">
      <c r="O46" s="25">
        <v>87150</v>
      </c>
      <c r="P46" s="25">
        <f t="shared" si="15"/>
        <v>95865</v>
      </c>
      <c r="Q46" s="25">
        <f t="shared" si="13"/>
        <v>99699.6</v>
      </c>
      <c r="R46" s="25">
        <f t="shared" si="14"/>
        <v>102690.588</v>
      </c>
      <c r="W46" s="28">
        <f>IF(W11&gt;0, W11-(W$30*VALORI!$B$4)-(W$31*VALORI!$B$4)-(W$32*VALORI!$B$3)-(W$33*VALORI!$B$5),0)</f>
        <v>4921.4352799999997</v>
      </c>
      <c r="X46" s="28">
        <f>IF(X11&gt;0, X11-(X$30*VALORI!$B$4)-(X$31*VALORI!$B$4)-(X$32*VALORI!$B$3)-(X$33*VALORI!$B$5),0)</f>
        <v>16818.117600000001</v>
      </c>
      <c r="Y46" s="28">
        <f>IF(Y11&gt;0, Y11-(Y$30*VALORI!$B$4)-(Y$31*VALORI!$B$4)-(Y$32*VALORI!$B$3)-(Y$33*VALORI!$B$5),0)</f>
        <v>11008</v>
      </c>
      <c r="Z46" s="28">
        <f>IF(Z11&gt;0, Z11-(Z$30*VALORI!$B$4)-(Z$31*VALORI!$B$4)-(Z$32*VALORI!$B$3)-(Z$33*VALORI!$B$5),0)</f>
        <v>18808</v>
      </c>
      <c r="AA46" s="28">
        <f>IF(AA11&gt;0, AA11-(AA$30*VALORI!$B$4)-(AA$31*VALORI!$B$4)-(AA$32*VALORI!$B$3)-(AA$33*VALORI!$B$5),0)</f>
        <v>2924</v>
      </c>
      <c r="AB46" s="28">
        <f>IF(AB11&gt;0, AB11-(AB$30*VALORI!$B$4)-(AB$31*VALORI!$B$4)-(AB$32*VALORI!$B$3)-(AB$33*VALORI!$B$5),0)</f>
        <v>5397</v>
      </c>
      <c r="AC46" s="28">
        <f>IF(AC11&gt;0, AC11-(AC$30*VALORI!$B$4)-(AC$31*VALORI!$B$4)-(AC$32*VALORI!$B$3)-(AC$33*VALORI!$B$5),0)</f>
        <v>506</v>
      </c>
      <c r="AD46" s="28">
        <f>IF(AD11&gt;0, AD11-(AD$30*VALORI!$B$4)-(AD$31*VALORI!$B$4)-(AD$32*VALORI!$B$3)-(AD$33*VALORI!$B$5),0)</f>
        <v>5646</v>
      </c>
      <c r="AE46" s="28">
        <f>IF(AE11&gt;0, AE11-(AE$30*VALORI!$B$4)-(AE$31*VALORI!$B$4)-(AE$32*VALORI!$B$3)-(AE$33*VALORI!$B$5),0)</f>
        <v>932</v>
      </c>
      <c r="AF46" s="28">
        <f>IF(AF11&gt;0, AF11-(AF$30*VALORI!$B$4)-(AF$31*VALORI!$B$4)-(AF$32*VALORI!$B$3)-(AF$33*VALORI!$B$5),0)</f>
        <v>1677</v>
      </c>
      <c r="AG46" s="28">
        <f>IF(AG11&gt;0, AG11-(AG$30*VALORI!$B$4)-(AG$31*VALORI!$B$4)-(AG$32*VALORI!$B$3)-(AG$33*VALORI!$B$5),0)</f>
        <v>-23</v>
      </c>
      <c r="AH46" s="28">
        <f>IF(AH11&gt;0, AH11-(AH$30*VALORI!$B$4)-(AH$31*VALORI!$B$4)-(AH$32*VALORI!$B$3)-(AH$33*VALORI!$B$5),0)</f>
        <v>3852</v>
      </c>
      <c r="AI46" s="28">
        <f>IF(AI11&gt;0, AI11-(AI$30*VALORI!$B$4)-(AI$31*VALORI!$B$4)-(AI$32*VALORI!$B$3)-(AI$33*VALORI!$B$5),0)</f>
        <v>2600</v>
      </c>
      <c r="AJ46" s="28">
        <f>IF(AJ11&gt;0, AJ11-(AJ$30*VALORI!$B$4)-(AJ$31*VALORI!$B$4)-(AJ$32*VALORI!$B$3)-(AJ$33*VALORI!$B$5),0)</f>
        <v>0</v>
      </c>
      <c r="AK46" s="28">
        <f>IF(AK11&gt;0, AK11-(AK$30*VALORI!$B$4)-(AK$31*VALORI!$B$4)-(AK$32*VALORI!$B$3)-(AK$33*VALORI!$B$5),0)</f>
        <v>0</v>
      </c>
      <c r="AL46" s="28">
        <f>IF(AL11&gt;0, AL11-(AL$30*VALORI!$B$4)-(AL$31*VALORI!$B$4)-(AL$32*VALORI!$B$3)-(AL$33*VALORI!$B$5),0)</f>
        <v>0</v>
      </c>
      <c r="AM46" s="28">
        <f>IF(AM11&gt;0, AM11-(AM$30*VALORI!$B$4)-(AM$31*VALORI!$B$4)-(AM$32*VALORI!$B$3)-(AM$33*VALORI!$B$5),0)</f>
        <v>7358</v>
      </c>
      <c r="AN46" s="28">
        <f>IF(AN11&gt;0, AN11-(AN$30*VALORI!$B$4)-(AN$31*VALORI!$B$4)-(AN$32*VALORI!$B$3)-(AN$33*VALORI!$B$5),0)</f>
        <v>0</v>
      </c>
      <c r="AO46" s="28">
        <f>IF(AO11&gt;0, AO11-(AO$30*VALORI!$B$4)-(AO$31*VALORI!$B$4)-(AO$32*VALORI!$B$3)-(AO$33*VALORI!$B$5),0)</f>
        <v>-684</v>
      </c>
    </row>
    <row r="47" spans="15:45" ht="15.75" x14ac:dyDescent="0.25">
      <c r="O47" s="25">
        <v>89250</v>
      </c>
      <c r="P47" s="25">
        <f t="shared" si="15"/>
        <v>98175</v>
      </c>
      <c r="Q47" s="25">
        <f t="shared" si="13"/>
        <v>102102</v>
      </c>
      <c r="R47" s="25">
        <f t="shared" si="14"/>
        <v>105165.06</v>
      </c>
      <c r="W47" s="28">
        <f>IF(W12&gt;0, W12-(W$30*VALORI!$B$4)-(W$31*VALORI!$B$4)-(W$32*VALORI!$B$3)-(W$33*VALORI!$B$5),0)</f>
        <v>5069.9035999999996</v>
      </c>
      <c r="X47" s="28">
        <f>IF(X12&gt;0, X12-(X$30*VALORI!$B$4)-(X$31*VALORI!$B$4)-(X$32*VALORI!$B$3)-(X$33*VALORI!$B$5),0)</f>
        <v>17313.012000000002</v>
      </c>
      <c r="Y47" s="28">
        <f>IF(Y12&gt;0, Y12-(Y$30*VALORI!$B$4)-(Y$31*VALORI!$B$4)-(Y$32*VALORI!$B$3)-(Y$33*VALORI!$B$5),0)</f>
        <v>11008</v>
      </c>
      <c r="Z47" s="28">
        <f>IF(Z12&gt;0, Z12-(Z$30*VALORI!$B$4)-(Z$31*VALORI!$B$4)-(Z$32*VALORI!$B$3)-(Z$33*VALORI!$B$5),0)</f>
        <v>18808</v>
      </c>
      <c r="AA47" s="28">
        <f>IF(AA12&gt;0, AA12-(AA$30*VALORI!$B$4)-(AA$31*VALORI!$B$4)-(AA$32*VALORI!$B$3)-(AA$33*VALORI!$B$5),0)</f>
        <v>2924</v>
      </c>
      <c r="AB47" s="28">
        <f>IF(AB12&gt;0, AB12-(AB$30*VALORI!$B$4)-(AB$31*VALORI!$B$4)-(AB$32*VALORI!$B$3)-(AB$33*VALORI!$B$5),0)</f>
        <v>5397</v>
      </c>
      <c r="AC47" s="28">
        <f>IF(AC12&gt;0, AC12-(AC$30*VALORI!$B$4)-(AC$31*VALORI!$B$4)-(AC$32*VALORI!$B$3)-(AC$33*VALORI!$B$5),0)</f>
        <v>506</v>
      </c>
      <c r="AD47" s="28">
        <f>IF(AD12&gt;0, AD12-(AD$30*VALORI!$B$4)-(AD$31*VALORI!$B$4)-(AD$32*VALORI!$B$3)-(AD$33*VALORI!$B$5),0)</f>
        <v>5646</v>
      </c>
      <c r="AE47" s="28">
        <f>IF(AE12&gt;0, AE12-(AE$30*VALORI!$B$4)-(AE$31*VALORI!$B$4)-(AE$32*VALORI!$B$3)-(AE$33*VALORI!$B$5),0)</f>
        <v>932</v>
      </c>
      <c r="AF47" s="28">
        <f>IF(AF12&gt;0, AF12-(AF$30*VALORI!$B$4)-(AF$31*VALORI!$B$4)-(AF$32*VALORI!$B$3)-(AF$33*VALORI!$B$5),0)</f>
        <v>1677</v>
      </c>
      <c r="AG47" s="28">
        <f>IF(AG12&gt;0, AG12-(AG$30*VALORI!$B$4)-(AG$31*VALORI!$B$4)-(AG$32*VALORI!$B$3)-(AG$33*VALORI!$B$5),0)</f>
        <v>-23</v>
      </c>
      <c r="AH47" s="28">
        <f>IF(AH12&gt;0, AH12-(AH$30*VALORI!$B$4)-(AH$31*VALORI!$B$4)-(AH$32*VALORI!$B$3)-(AH$33*VALORI!$B$5),0)</f>
        <v>3852</v>
      </c>
      <c r="AI47" s="28">
        <f>IF(AI12&gt;0, AI12-(AI$30*VALORI!$B$4)-(AI$31*VALORI!$B$4)-(AI$32*VALORI!$B$3)-(AI$33*VALORI!$B$5),0)</f>
        <v>2600</v>
      </c>
      <c r="AJ47" s="28">
        <f>IF(AJ12&gt;0, AJ12-(AJ$30*VALORI!$B$4)-(AJ$31*VALORI!$B$4)-(AJ$32*VALORI!$B$3)-(AJ$33*VALORI!$B$5),0)</f>
        <v>0</v>
      </c>
      <c r="AK47" s="28">
        <f>IF(AK12&gt;0, AK12-(AK$30*VALORI!$B$4)-(AK$31*VALORI!$B$4)-(AK$32*VALORI!$B$3)-(AK$33*VALORI!$B$5),0)</f>
        <v>0</v>
      </c>
      <c r="AL47" s="28">
        <f>IF(AL12&gt;0, AL12-(AL$30*VALORI!$B$4)-(AL$31*VALORI!$B$4)-(AL$32*VALORI!$B$3)-(AL$33*VALORI!$B$5),0)</f>
        <v>0</v>
      </c>
      <c r="AM47" s="28">
        <f>IF(AM12&gt;0, AM12-(AM$30*VALORI!$B$4)-(AM$31*VALORI!$B$4)-(AM$32*VALORI!$B$3)-(AM$33*VALORI!$B$5),0)</f>
        <v>7358</v>
      </c>
      <c r="AN47" s="28">
        <f>IF(AN12&gt;0, AN12-(AN$30*VALORI!$B$4)-(AN$31*VALORI!$B$4)-(AN$32*VALORI!$B$3)-(AN$33*VALORI!$B$5),0)</f>
        <v>0</v>
      </c>
      <c r="AO47" s="28">
        <f>IF(AO12&gt;0, AO12-(AO$30*VALORI!$B$4)-(AO$31*VALORI!$B$4)-(AO$32*VALORI!$B$3)-(AO$33*VALORI!$B$5),0)</f>
        <v>-684</v>
      </c>
    </row>
    <row r="48" spans="15:45" ht="15.75" x14ac:dyDescent="0.25">
      <c r="O48" s="25">
        <v>97650</v>
      </c>
      <c r="P48" s="25">
        <f t="shared" si="15"/>
        <v>107415</v>
      </c>
      <c r="Q48" s="25">
        <f t="shared" si="13"/>
        <v>111711.6</v>
      </c>
      <c r="R48" s="25">
        <f t="shared" si="14"/>
        <v>115062.948</v>
      </c>
      <c r="W48" s="28">
        <f>IF(W13&gt;0, W13-(W$30*VALORI!$B$4)-(W$31*VALORI!$B$4)-(W$32*VALORI!$B$3)-(W$33*VALORI!$B$5),0)</f>
        <v>5663.7768800000003</v>
      </c>
      <c r="X48" s="28">
        <f>IF(X13&gt;0, X13-(X$30*VALORI!$B$4)-(X$31*VALORI!$B$4)-(X$32*VALORI!$B$3)-(X$33*VALORI!$B$5),0)</f>
        <v>19292.589600000003</v>
      </c>
      <c r="Y48" s="28">
        <f>IF(Y13&gt;0, Y13-(Y$30*VALORI!$B$4)-(Y$31*VALORI!$B$4)-(Y$32*VALORI!$B$3)-(Y$33*VALORI!$B$5),0)</f>
        <v>13008</v>
      </c>
      <c r="Z48" s="28">
        <f>IF(Z13&gt;0, Z13-(Z$30*VALORI!$B$4)-(Z$31*VALORI!$B$4)-(Z$32*VALORI!$B$3)-(Z$33*VALORI!$B$5),0)</f>
        <v>22108</v>
      </c>
      <c r="AA48" s="28">
        <f>IF(AA13&gt;0, AA13-(AA$30*VALORI!$B$4)-(AA$31*VALORI!$B$4)-(AA$32*VALORI!$B$3)-(AA$33*VALORI!$B$5),0)</f>
        <v>2924</v>
      </c>
      <c r="AB48" s="28">
        <f>IF(AB13&gt;0, AB13-(AB$30*VALORI!$B$4)-(AB$31*VALORI!$B$4)-(AB$32*VALORI!$B$3)-(AB$33*VALORI!$B$5),0)</f>
        <v>5397</v>
      </c>
      <c r="AC48" s="28">
        <f>IF(AC13&gt;0, AC13-(AC$30*VALORI!$B$4)-(AC$31*VALORI!$B$4)-(AC$32*VALORI!$B$3)-(AC$33*VALORI!$B$5),0)</f>
        <v>506</v>
      </c>
      <c r="AD48" s="28">
        <f>IF(AD13&gt;0, AD13-(AD$30*VALORI!$B$4)-(AD$31*VALORI!$B$4)-(AD$32*VALORI!$B$3)-(AD$33*VALORI!$B$5),0)</f>
        <v>5646</v>
      </c>
      <c r="AE48" s="28">
        <f>IF(AE13&gt;0, AE13-(AE$30*VALORI!$B$4)-(AE$31*VALORI!$B$4)-(AE$32*VALORI!$B$3)-(AE$33*VALORI!$B$5),0)</f>
        <v>932</v>
      </c>
      <c r="AF48" s="28">
        <f>IF(AF13&gt;0, AF13-(AF$30*VALORI!$B$4)-(AF$31*VALORI!$B$4)-(AF$32*VALORI!$B$3)-(AF$33*VALORI!$B$5),0)</f>
        <v>1677</v>
      </c>
      <c r="AG48" s="28">
        <f>IF(AG13&gt;0, AG13-(AG$30*VALORI!$B$4)-(AG$31*VALORI!$B$4)-(AG$32*VALORI!$B$3)-(AG$33*VALORI!$B$5),0)</f>
        <v>-23</v>
      </c>
      <c r="AH48" s="28">
        <f>IF(AH13&gt;0, AH13-(AH$30*VALORI!$B$4)-(AH$31*VALORI!$B$4)-(AH$32*VALORI!$B$3)-(AH$33*VALORI!$B$5),0)</f>
        <v>7852</v>
      </c>
      <c r="AI48" s="28">
        <f>IF(AI13&gt;0, AI13-(AI$30*VALORI!$B$4)-(AI$31*VALORI!$B$4)-(AI$32*VALORI!$B$3)-(AI$33*VALORI!$B$5),0)</f>
        <v>6800</v>
      </c>
      <c r="AJ48" s="28">
        <f>IF(AJ13&gt;0, AJ13-(AJ$30*VALORI!$B$4)-(AJ$31*VALORI!$B$4)-(AJ$32*VALORI!$B$3)-(AJ$33*VALORI!$B$5),0)</f>
        <v>0</v>
      </c>
      <c r="AK48" s="28">
        <f>IF(AK13&gt;0, AK13-(AK$30*VALORI!$B$4)-(AK$31*VALORI!$B$4)-(AK$32*VALORI!$B$3)-(AK$33*VALORI!$B$5),0)</f>
        <v>0</v>
      </c>
      <c r="AL48" s="28">
        <f>IF(AL13&gt;0, AL13-(AL$30*VALORI!$B$4)-(AL$31*VALORI!$B$4)-(AL$32*VALORI!$B$3)-(AL$33*VALORI!$B$5),0)</f>
        <v>0</v>
      </c>
      <c r="AM48" s="28">
        <f>IF(AM13&gt;0, AM13-(AM$30*VALORI!$B$4)-(AM$31*VALORI!$B$4)-(AM$32*VALORI!$B$3)-(AM$33*VALORI!$B$5),0)</f>
        <v>7358</v>
      </c>
      <c r="AN48" s="28">
        <f>IF(AN13&gt;0, AN13-(AN$30*VALORI!$B$4)-(AN$31*VALORI!$B$4)-(AN$32*VALORI!$B$3)-(AN$33*VALORI!$B$5),0)</f>
        <v>0</v>
      </c>
      <c r="AO48" s="28">
        <f>IF(AO13&gt;0, AO13-(AO$30*VALORI!$B$4)-(AO$31*VALORI!$B$4)-(AO$32*VALORI!$B$3)-(AO$33*VALORI!$B$5),0)</f>
        <v>116</v>
      </c>
    </row>
    <row r="49" spans="15:41" ht="15.75" x14ac:dyDescent="0.25">
      <c r="O49" s="25">
        <v>118650</v>
      </c>
      <c r="P49" s="25">
        <f t="shared" si="15"/>
        <v>130515</v>
      </c>
      <c r="Q49" s="25">
        <f t="shared" si="13"/>
        <v>135735.6</v>
      </c>
      <c r="R49" s="25">
        <f t="shared" si="14"/>
        <v>139807.66800000001</v>
      </c>
      <c r="W49" s="28">
        <f>IF(W14&gt;0, W14-(W$30*VALORI!$B$4)-(W$31*VALORI!$B$4)-(W$32*VALORI!$B$3)-(W$33*VALORI!$B$5),0)</f>
        <v>7148.4600800000007</v>
      </c>
      <c r="X49" s="28">
        <f>IF(X14&gt;0, X14-(X$30*VALORI!$B$4)-(X$31*VALORI!$B$4)-(X$32*VALORI!$B$3)-(X$33*VALORI!$B$5),0)</f>
        <v>24241.533600000002</v>
      </c>
      <c r="Y49" s="28">
        <f>IF(Y14&gt;0, Y14-(Y$30*VALORI!$B$4)-(Y$31*VALORI!$B$4)-(Y$32*VALORI!$B$3)-(Y$33*VALORI!$B$5),0)</f>
        <v>13008</v>
      </c>
      <c r="Z49" s="28">
        <f>IF(Z14&gt;0, Z14-(Z$30*VALORI!$B$4)-(Z$31*VALORI!$B$4)-(Z$32*VALORI!$B$3)-(Z$33*VALORI!$B$5),0)</f>
        <v>22108</v>
      </c>
      <c r="AA49" s="28">
        <f>IF(AA14&gt;0, AA14-(AA$30*VALORI!$B$4)-(AA$31*VALORI!$B$4)-(AA$32*VALORI!$B$3)-(AA$33*VALORI!$B$5),0)</f>
        <v>2924</v>
      </c>
      <c r="AB49" s="28">
        <f>IF(AB14&gt;0, AB14-(AB$30*VALORI!$B$4)-(AB$31*VALORI!$B$4)-(AB$32*VALORI!$B$3)-(AB$33*VALORI!$B$5),0)</f>
        <v>5397</v>
      </c>
      <c r="AC49" s="28">
        <f>IF(AC14&gt;0, AC14-(AC$30*VALORI!$B$4)-(AC$31*VALORI!$B$4)-(AC$32*VALORI!$B$3)-(AC$33*VALORI!$B$5),0)</f>
        <v>506</v>
      </c>
      <c r="AD49" s="28">
        <f>IF(AD14&gt;0, AD14-(AD$30*VALORI!$B$4)-(AD$31*VALORI!$B$4)-(AD$32*VALORI!$B$3)-(AD$33*VALORI!$B$5),0)</f>
        <v>5646</v>
      </c>
      <c r="AE49" s="28">
        <f>IF(AE14&gt;0, AE14-(AE$30*VALORI!$B$4)-(AE$31*VALORI!$B$4)-(AE$32*VALORI!$B$3)-(AE$33*VALORI!$B$5),0)</f>
        <v>932</v>
      </c>
      <c r="AF49" s="28">
        <f>IF(AF14&gt;0, AF14-(AF$30*VALORI!$B$4)-(AF$31*VALORI!$B$4)-(AF$32*VALORI!$B$3)-(AF$33*VALORI!$B$5),0)</f>
        <v>1677</v>
      </c>
      <c r="AG49" s="28">
        <f>IF(AG14&gt;0, AG14-(AG$30*VALORI!$B$4)-(AG$31*VALORI!$B$4)-(AG$32*VALORI!$B$3)-(AG$33*VALORI!$B$5),0)</f>
        <v>-23</v>
      </c>
      <c r="AH49" s="28">
        <f>IF(AH14&gt;0, AH14-(AH$30*VALORI!$B$4)-(AH$31*VALORI!$B$4)-(AH$32*VALORI!$B$3)-(AH$33*VALORI!$B$5),0)</f>
        <v>7852</v>
      </c>
      <c r="AI49" s="28">
        <f>IF(AI14&gt;0, AI14-(AI$30*VALORI!$B$4)-(AI$31*VALORI!$B$4)-(AI$32*VALORI!$B$3)-(AI$33*VALORI!$B$5),0)</f>
        <v>6800</v>
      </c>
      <c r="AJ49" s="28">
        <f>IF(AJ14&gt;0, AJ14-(AJ$30*VALORI!$B$4)-(AJ$31*VALORI!$B$4)-(AJ$32*VALORI!$B$3)-(AJ$33*VALORI!$B$5),0)</f>
        <v>0</v>
      </c>
      <c r="AK49" s="28">
        <f>IF(AK14&gt;0, AK14-(AK$30*VALORI!$B$4)-(AK$31*VALORI!$B$4)-(AK$32*VALORI!$B$3)-(AK$33*VALORI!$B$5),0)</f>
        <v>0</v>
      </c>
      <c r="AL49" s="28">
        <f>IF(AL14&gt;0, AL14-(AL$30*VALORI!$B$4)-(AL$31*VALORI!$B$4)-(AL$32*VALORI!$B$3)-(AL$33*VALORI!$B$5),0)</f>
        <v>0</v>
      </c>
      <c r="AM49" s="28">
        <f>IF(AM14&gt;0, AM14-(AM$30*VALORI!$B$4)-(AM$31*VALORI!$B$4)-(AM$32*VALORI!$B$3)-(AM$33*VALORI!$B$5),0)</f>
        <v>7358</v>
      </c>
      <c r="AN49" s="28">
        <f>IF(AN14&gt;0, AN14-(AN$30*VALORI!$B$4)-(AN$31*VALORI!$B$4)-(AN$32*VALORI!$B$3)-(AN$33*VALORI!$B$5),0)</f>
        <v>0</v>
      </c>
      <c r="AO49" s="28">
        <f>IF(AO14&gt;0, AO14-(AO$30*VALORI!$B$4)-(AO$31*VALORI!$B$4)-(AO$32*VALORI!$B$3)-(AO$33*VALORI!$B$5),0)</f>
        <v>116</v>
      </c>
    </row>
    <row r="50" spans="15:41" ht="15.75" x14ac:dyDescent="0.25">
      <c r="O50" s="25">
        <v>123900</v>
      </c>
      <c r="P50" s="25">
        <f t="shared" si="15"/>
        <v>136290</v>
      </c>
      <c r="Q50" s="25">
        <f t="shared" si="13"/>
        <v>141741.6</v>
      </c>
      <c r="R50" s="25">
        <f t="shared" si="14"/>
        <v>145993.848</v>
      </c>
      <c r="W50" s="28">
        <f>IF(W15&gt;0, W15-(W$30*VALORI!$B$4)-(W$31*VALORI!$B$4)-(W$32*VALORI!$B$3)-(W$33*VALORI!$B$5),0)</f>
        <v>7519.6308799999988</v>
      </c>
      <c r="X50" s="28">
        <f>IF(X15&gt;0, X15-(X$30*VALORI!$B$4)-(X$31*VALORI!$B$4)-(X$32*VALORI!$B$3)-(X$33*VALORI!$B$5),0)</f>
        <v>25478.7696</v>
      </c>
      <c r="Y50" s="28">
        <f>IF(Y15&gt;0, Y15-(Y$30*VALORI!$B$4)-(Y$31*VALORI!$B$4)-(Y$32*VALORI!$B$3)-(Y$33*VALORI!$B$5),0)</f>
        <v>13008</v>
      </c>
      <c r="Z50" s="28">
        <f>IF(Z15&gt;0, Z15-(Z$30*VALORI!$B$4)-(Z$31*VALORI!$B$4)-(Z$32*VALORI!$B$3)-(Z$33*VALORI!$B$5),0)</f>
        <v>22108</v>
      </c>
      <c r="AA50" s="28">
        <f>IF(AA15&gt;0, AA15-(AA$30*VALORI!$B$4)-(AA$31*VALORI!$B$4)-(AA$32*VALORI!$B$3)-(AA$33*VALORI!$B$5),0)</f>
        <v>2924</v>
      </c>
      <c r="AB50" s="28">
        <f>IF(AB15&gt;0, AB15-(AB$30*VALORI!$B$4)-(AB$31*VALORI!$B$4)-(AB$32*VALORI!$B$3)-(AB$33*VALORI!$B$5),0)</f>
        <v>5397</v>
      </c>
      <c r="AC50" s="28">
        <f>IF(AC15&gt;0, AC15-(AC$30*VALORI!$B$4)-(AC$31*VALORI!$B$4)-(AC$32*VALORI!$B$3)-(AC$33*VALORI!$B$5),0)</f>
        <v>506</v>
      </c>
      <c r="AD50" s="28">
        <f>IF(AD15&gt;0, AD15-(AD$30*VALORI!$B$4)-(AD$31*VALORI!$B$4)-(AD$32*VALORI!$B$3)-(AD$33*VALORI!$B$5),0)</f>
        <v>5646</v>
      </c>
      <c r="AE50" s="28">
        <f>IF(AE15&gt;0, AE15-(AE$30*VALORI!$B$4)-(AE$31*VALORI!$B$4)-(AE$32*VALORI!$B$3)-(AE$33*VALORI!$B$5),0)</f>
        <v>932</v>
      </c>
      <c r="AF50" s="28">
        <f>IF(AF15&gt;0, AF15-(AF$30*VALORI!$B$4)-(AF$31*VALORI!$B$4)-(AF$32*VALORI!$B$3)-(AF$33*VALORI!$B$5),0)</f>
        <v>1677</v>
      </c>
      <c r="AG50" s="28">
        <f>IF(AG15&gt;0, AG15-(AG$30*VALORI!$B$4)-(AG$31*VALORI!$B$4)-(AG$32*VALORI!$B$3)-(AG$33*VALORI!$B$5),0)</f>
        <v>-23</v>
      </c>
      <c r="AH50" s="28">
        <f>IF(AH15&gt;0, AH15-(AH$30*VALORI!$B$4)-(AH$31*VALORI!$B$4)-(AH$32*VALORI!$B$3)-(AH$33*VALORI!$B$5),0)</f>
        <v>7852</v>
      </c>
      <c r="AI50" s="28">
        <f>IF(AI15&gt;0, AI15-(AI$30*VALORI!$B$4)-(AI$31*VALORI!$B$4)-(AI$32*VALORI!$B$3)-(AI$33*VALORI!$B$5),0)</f>
        <v>6800</v>
      </c>
      <c r="AJ50" s="28">
        <f>IF(AJ15&gt;0, AJ15-(AJ$30*VALORI!$B$4)-(AJ$31*VALORI!$B$4)-(AJ$32*VALORI!$B$3)-(AJ$33*VALORI!$B$5),0)</f>
        <v>0</v>
      </c>
      <c r="AK50" s="28">
        <f>IF(AK15&gt;0, AK15-(AK$30*VALORI!$B$4)-(AK$31*VALORI!$B$4)-(AK$32*VALORI!$B$3)-(AK$33*VALORI!$B$5),0)</f>
        <v>0</v>
      </c>
      <c r="AL50" s="28">
        <f>IF(AL15&gt;0, AL15-(AL$30*VALORI!$B$4)-(AL$31*VALORI!$B$4)-(AL$32*VALORI!$B$3)-(AL$33*VALORI!$B$5),0)</f>
        <v>0</v>
      </c>
      <c r="AM50" s="28">
        <f>IF(AM15&gt;0, AM15-(AM$30*VALORI!$B$4)-(AM$31*VALORI!$B$4)-(AM$32*VALORI!$B$3)-(AM$33*VALORI!$B$5),0)</f>
        <v>7358</v>
      </c>
      <c r="AN50" s="28">
        <f>IF(AN15&gt;0, AN15-(AN$30*VALORI!$B$4)-(AN$31*VALORI!$B$4)-(AN$32*VALORI!$B$3)-(AN$33*VALORI!$B$5),0)</f>
        <v>0</v>
      </c>
      <c r="AO50" s="28">
        <f>IF(AO15&gt;0, AO15-(AO$30*VALORI!$B$4)-(AO$31*VALORI!$B$4)-(AO$32*VALORI!$B$3)-(AO$33*VALORI!$B$5),0)</f>
        <v>116</v>
      </c>
    </row>
    <row r="51" spans="15:41" ht="15.75" x14ac:dyDescent="0.25">
      <c r="W51" s="28">
        <f>IF(W16&gt;0, W16-(W$30*VALORI!$B$4)-(W$31*VALORI!$B$4)-(W$32*VALORI!$B$3)-(W$33*VALORI!$B$5),0)</f>
        <v>0</v>
      </c>
      <c r="X51" s="28">
        <f>IF(X16&gt;0, X16-(X$30*VALORI!$B$4)-(X$31*VALORI!$B$4)-(X$32*VALORI!$B$3)-(X$33*VALORI!$B$5),0)</f>
        <v>0</v>
      </c>
      <c r="Y51" s="28">
        <f>IF(Y16&gt;0, Y16-(Y$30*VALORI!$B$4)-(Y$31*VALORI!$B$4)-(Y$32*VALORI!$B$3)-(Y$33*VALORI!$B$5),0)</f>
        <v>0</v>
      </c>
      <c r="Z51" s="28">
        <f>IF(Z16&gt;0, Z16-(Z$30*VALORI!$B$4)-(Z$31*VALORI!$B$4)-(Z$32*VALORI!$B$3)-(Z$33*VALORI!$B$5),0)</f>
        <v>0</v>
      </c>
      <c r="AA51" s="28">
        <f>IF(AA16&gt;0, AA16-(AA$30*VALORI!$B$4)-(AA$31*VALORI!$B$4)-(AA$32*VALORI!$B$3)-(AA$33*VALORI!$B$5),0)</f>
        <v>0</v>
      </c>
      <c r="AB51" s="28">
        <f>IF(AB16&gt;0, AB16-(AB$30*VALORI!$B$4)-(AB$31*VALORI!$B$4)-(AB$32*VALORI!$B$3)-(AB$33*VALORI!$B$5),0)</f>
        <v>0</v>
      </c>
      <c r="AC51" s="28">
        <f>IF(AC16&gt;0, AC16-(AC$30*VALORI!$B$4)-(AC$31*VALORI!$B$4)-(AC$32*VALORI!$B$3)-(AC$33*VALORI!$B$5),0)</f>
        <v>0</v>
      </c>
      <c r="AD51" s="28">
        <f>IF(AD16&gt;0, AD16-(AD$30*VALORI!$B$4)-(AD$31*VALORI!$B$4)-(AD$32*VALORI!$B$3)-(AD$33*VALORI!$B$5),0)</f>
        <v>0</v>
      </c>
      <c r="AE51" s="28">
        <f>IF(AE16&gt;0, AE16-(AE$30*VALORI!$B$4)-(AE$31*VALORI!$B$4)-(AE$32*VALORI!$B$3)-(AE$33*VALORI!$B$5),0)</f>
        <v>0</v>
      </c>
      <c r="AF51" s="28">
        <f>IF(AF16&gt;0, AF16-(AF$30*VALORI!$B$4)-(AF$31*VALORI!$B$4)-(AF$32*VALORI!$B$3)-(AF$33*VALORI!$B$5),0)</f>
        <v>0</v>
      </c>
      <c r="AG51" s="28">
        <f>IF(AG16&gt;0, AG16-(AG$30*VALORI!$B$4)-(AG$31*VALORI!$B$4)-(AG$32*VALORI!$B$3)-(AG$33*VALORI!$B$5),0)</f>
        <v>0</v>
      </c>
      <c r="AH51" s="28">
        <f>IF(AH16&gt;0, AH16-(AH$30*VALORI!$B$4)-(AH$31*VALORI!$B$4)-(AH$32*VALORI!$B$3)-(AH$33*VALORI!$B$5),0)</f>
        <v>0</v>
      </c>
      <c r="AI51" s="28">
        <f>IF(AI16&gt;0, AI16-(AI$30*VALORI!$B$4)-(AI$31*VALORI!$B$4)-(AI$32*VALORI!$B$3)-(AI$33*VALORI!$B$5),0)</f>
        <v>0</v>
      </c>
      <c r="AJ51" s="28">
        <f>IF(AJ16&gt;0, AJ16-(AJ$30*VALORI!$B$4)-(AJ$31*VALORI!$B$4)-(AJ$32*VALORI!$B$3)-(AJ$33*VALORI!$B$5),0)</f>
        <v>0</v>
      </c>
      <c r="AK51" s="28">
        <f>IF(AK16&gt;0, AK16-(AK$30*VALORI!$B$4)-(AK$31*VALORI!$B$4)-(AK$32*VALORI!$B$3)-(AK$33*VALORI!$B$5),0)</f>
        <v>0</v>
      </c>
      <c r="AL51" s="28">
        <f>IF(AL16&gt;0, AL16-(AL$30*VALORI!$B$4)-(AL$31*VALORI!$B$4)-(AL$32*VALORI!$B$3)-(AL$33*VALORI!$B$5),0)</f>
        <v>0</v>
      </c>
      <c r="AM51" s="28">
        <f>IF(AM16&gt;0, AM16-(AM$30*VALORI!$B$4)-(AM$31*VALORI!$B$4)-(AM$32*VALORI!$B$3)-(AM$33*VALORI!$B$5),0)</f>
        <v>0</v>
      </c>
      <c r="AN51" s="28">
        <f>IF(AN16&gt;0, AN16-(AN$30*VALORI!$B$4)-(AN$31*VALORI!$B$4)-(AN$32*VALORI!$B$3)-(AN$33*VALORI!$B$5),0)</f>
        <v>0</v>
      </c>
      <c r="AO51" s="28">
        <f>IF(AO16&gt;0, AO16-(AO$30*VALORI!$B$4)-(AO$31*VALORI!$B$4)-(AO$32*VALORI!$B$3)-(AO$33*VALORI!$B$5),0)</f>
        <v>0</v>
      </c>
    </row>
    <row r="52" spans="15:41" ht="15.75" x14ac:dyDescent="0.25">
      <c r="W52" s="28">
        <f>IF(W17&gt;0, W17-(W$30*VALORI!$B$4)-(W$31*VALORI!$B$4)-(W$32*VALORI!$B$3)-(W$33*VALORI!$B$5),0)</f>
        <v>0</v>
      </c>
      <c r="X52" s="28">
        <f>IF(X17&gt;0, X17-(X$30*VALORI!$B$4)-(X$31*VALORI!$B$4)-(X$32*VALORI!$B$3)-(X$33*VALORI!$B$5),0)</f>
        <v>0</v>
      </c>
      <c r="Y52" s="28">
        <f>IF(Y17&gt;0, Y17-(Y$30*VALORI!$B$4)-(Y$31*VALORI!$B$4)-(Y$32*VALORI!$B$3)-(Y$33*VALORI!$B$5),0)</f>
        <v>0</v>
      </c>
      <c r="Z52" s="28">
        <f>IF(Z17&gt;0, Z17-(Z$30*VALORI!$B$4)-(Z$31*VALORI!$B$4)-(Z$32*VALORI!$B$3)-(Z$33*VALORI!$B$5),0)</f>
        <v>0</v>
      </c>
      <c r="AA52" s="28">
        <f>IF(AA17&gt;0, AA17-(AA$30*VALORI!$B$4)-(AA$31*VALORI!$B$4)-(AA$32*VALORI!$B$3)-(AA$33*VALORI!$B$5),0)</f>
        <v>0</v>
      </c>
      <c r="AB52" s="28">
        <f>IF(AB17&gt;0, AB17-(AB$30*VALORI!$B$4)-(AB$31*VALORI!$B$4)-(AB$32*VALORI!$B$3)-(AB$33*VALORI!$B$5),0)</f>
        <v>0</v>
      </c>
      <c r="AC52" s="28">
        <f>IF(AC17&gt;0, AC17-(AC$30*VALORI!$B$4)-(AC$31*VALORI!$B$4)-(AC$32*VALORI!$B$3)-(AC$33*VALORI!$B$5),0)</f>
        <v>0</v>
      </c>
      <c r="AD52" s="28">
        <f>IF(AD17&gt;0, AD17-(AD$30*VALORI!$B$4)-(AD$31*VALORI!$B$4)-(AD$32*VALORI!$B$3)-(AD$33*VALORI!$B$5),0)</f>
        <v>0</v>
      </c>
      <c r="AE52" s="28">
        <f>IF(AE17&gt;0, AE17-(AE$30*VALORI!$B$4)-(AE$31*VALORI!$B$4)-(AE$32*VALORI!$B$3)-(AE$33*VALORI!$B$5),0)</f>
        <v>0</v>
      </c>
      <c r="AF52" s="28">
        <f>IF(AF17&gt;0, AF17-(AF$30*VALORI!$B$4)-(AF$31*VALORI!$B$4)-(AF$32*VALORI!$B$3)-(AF$33*VALORI!$B$5),0)</f>
        <v>0</v>
      </c>
      <c r="AG52" s="28">
        <f>IF(AG17&gt;0, AG17-(AG$30*VALORI!$B$4)-(AG$31*VALORI!$B$4)-(AG$32*VALORI!$B$3)-(AG$33*VALORI!$B$5),0)</f>
        <v>0</v>
      </c>
      <c r="AH52" s="28">
        <f>IF(AH17&gt;0, AH17-(AH$30*VALORI!$B$4)-(AH$31*VALORI!$B$4)-(AH$32*VALORI!$B$3)-(AH$33*VALORI!$B$5),0)</f>
        <v>0</v>
      </c>
      <c r="AI52" s="28">
        <f>IF(AI17&gt;0, AI17-(AI$30*VALORI!$B$4)-(AI$31*VALORI!$B$4)-(AI$32*VALORI!$B$3)-(AI$33*VALORI!$B$5),0)</f>
        <v>0</v>
      </c>
      <c r="AJ52" s="28">
        <f>IF(AJ17&gt;0, AJ17-(AJ$30*VALORI!$B$4)-(AJ$31*VALORI!$B$4)-(AJ$32*VALORI!$B$3)-(AJ$33*VALORI!$B$5),0)</f>
        <v>0</v>
      </c>
      <c r="AK52" s="28">
        <f>IF(AK17&gt;0, AK17-(AK$30*VALORI!$B$4)-(AK$31*VALORI!$B$4)-(AK$32*VALORI!$B$3)-(AK$33*VALORI!$B$5),0)</f>
        <v>0</v>
      </c>
      <c r="AL52" s="28">
        <f>IF(AL17&gt;0, AL17-(AL$30*VALORI!$B$4)-(AL$31*VALORI!$B$4)-(AL$32*VALORI!$B$3)-(AL$33*VALORI!$B$5),0)</f>
        <v>0</v>
      </c>
      <c r="AM52" s="28">
        <f>IF(AM17&gt;0, AM17-(AM$30*VALORI!$B$4)-(AM$31*VALORI!$B$4)-(AM$32*VALORI!$B$3)-(AM$33*VALORI!$B$5),0)</f>
        <v>0</v>
      </c>
      <c r="AN52" s="28">
        <f>IF(AN17&gt;0, AN17-(AN$30*VALORI!$B$4)-(AN$31*VALORI!$B$4)-(AN$32*VALORI!$B$3)-(AN$33*VALORI!$B$5),0)</f>
        <v>0</v>
      </c>
      <c r="AO52" s="28">
        <f>IF(AO17&gt;0, AO17-(AO$30*VALORI!$B$4)-(AO$31*VALORI!$B$4)-(AO$32*VALORI!$B$3)-(AO$33*VALORI!$B$5),0)</f>
        <v>0</v>
      </c>
    </row>
    <row r="53" spans="15:41" ht="15.75" x14ac:dyDescent="0.25">
      <c r="W53" s="28">
        <f>IF(W27&gt;0, W27-(W$30*VALORI!$B$4)-(W$31*VALORI!$B$4)-(W$32*VALORI!$B$3)-(W$33*VALORI!$B$5),0)</f>
        <v>0</v>
      </c>
      <c r="X53" s="28">
        <f>IF(X27&gt;0, X27-(X$30*VALORI!$B$4)-(X$31*VALORI!$B$4)-(X$32*VALORI!$B$3)-(X$33*VALORI!$B$5),0)</f>
        <v>0</v>
      </c>
      <c r="Y53" s="28">
        <f>IF(Y27&gt;0, Y27-(Y$30*VALORI!$B$4)-(Y$31*VALORI!$B$4)-(Y$32*VALORI!$B$3)-(Y$33*VALORI!$B$5),0)</f>
        <v>0</v>
      </c>
      <c r="Z53" s="28">
        <f>IF(Z27&gt;0, Z27-(Z$30*VALORI!$B$4)-(Z$31*VALORI!$B$4)-(Z$32*VALORI!$B$3)-(Z$33*VALORI!$B$5),0)</f>
        <v>0</v>
      </c>
      <c r="AA53" s="28">
        <f>IF(AA27&gt;0, AA27-(AA$30*VALORI!$B$4)-(AA$31*VALORI!$B$4)-(AA$32*VALORI!$B$3)-(AA$33*VALORI!$B$5),0)</f>
        <v>0</v>
      </c>
      <c r="AB53" s="28">
        <f>IF(AB27&gt;0, AB27-(AB$30*VALORI!$B$4)-(AB$31*VALORI!$B$4)-(AB$32*VALORI!$B$3)-(AB$33*VALORI!$B$5),0)</f>
        <v>0</v>
      </c>
      <c r="AC53" s="28">
        <f>IF(AC27&gt;0, AC27-(AC$30*VALORI!$B$4)-(AC$31*VALORI!$B$4)-(AC$32*VALORI!$B$3)-(AC$33*VALORI!$B$5),0)</f>
        <v>0</v>
      </c>
      <c r="AD53" s="28">
        <f>IF(AD27&gt;0, AD27-(AD$30*VALORI!$B$4)-(AD$31*VALORI!$B$4)-(AD$32*VALORI!$B$3)-(AD$33*VALORI!$B$5),0)</f>
        <v>0</v>
      </c>
      <c r="AE53" s="28">
        <f>IF(AE27&gt;0, AE27-(AE$30*VALORI!$B$4)-(AE$31*VALORI!$B$4)-(AE$32*VALORI!$B$3)-(AE$33*VALORI!$B$5),0)</f>
        <v>0</v>
      </c>
      <c r="AF53" s="28">
        <f>IF(AF27&gt;0, AF27-(AF$30*VALORI!$B$4)-(AF$31*VALORI!$B$4)-(AF$32*VALORI!$B$3)-(AF$33*VALORI!$B$5),0)</f>
        <v>0</v>
      </c>
      <c r="AG53" s="28">
        <f>IF(AG27&gt;0, AG27-(AG$30*VALORI!$B$4)-(AG$31*VALORI!$B$4)-(AG$32*VALORI!$B$3)-(AG$33*VALORI!$B$5),0)</f>
        <v>0</v>
      </c>
      <c r="AH53" s="28">
        <f>IF(AH27&gt;0, AH27-(AH$30*VALORI!$B$4)-(AH$31*VALORI!$B$4)-(AH$32*VALORI!$B$3)-(AH$33*VALORI!$B$5),0)</f>
        <v>0</v>
      </c>
      <c r="AI53" s="28">
        <f>IF(AI27&gt;0, AI27-(AI$30*VALORI!$B$4)-(AI$31*VALORI!$B$4)-(AI$32*VALORI!$B$3)-(AI$33*VALORI!$B$5),0)</f>
        <v>0</v>
      </c>
      <c r="AJ53" s="28">
        <f>IF(AJ27&gt;0, AJ27-(AJ$30*VALORI!$B$4)-(AJ$31*VALORI!$B$4)-(AJ$32*VALORI!$B$3)-(AJ$33*VALORI!$B$5),0)</f>
        <v>0</v>
      </c>
      <c r="AK53" s="28">
        <f>IF(AK27&gt;0, AK27-(AK$30*VALORI!$B$4)-(AK$31*VALORI!$B$4)-(AK$32*VALORI!$B$3)-(AK$33*VALORI!$B$5),0)</f>
        <v>0</v>
      </c>
      <c r="AL53" s="28">
        <f>IF(AL27&gt;0, AL27-(AL$30*VALORI!$B$4)-(AL$31*VALORI!$B$4)-(AL$32*VALORI!$B$3)-(AL$33*VALORI!$B$5),0)</f>
        <v>0</v>
      </c>
      <c r="AM53" s="28">
        <f>IF(AM27&gt;0, AM27-(AM$30*VALORI!$B$4)-(AM$31*VALORI!$B$4)-(AM$32*VALORI!$B$3)-(AM$33*VALORI!$B$5),0)</f>
        <v>0</v>
      </c>
      <c r="AN53" s="28">
        <f>IF(AN27&gt;0, AN27-(AN$30*VALORI!$B$4)-(AN$31*VALORI!$B$4)-(AN$32*VALORI!$B$3)-(AN$33*VALORI!$B$5),0)</f>
        <v>0</v>
      </c>
      <c r="AO53" s="28">
        <f>IF(AO27&gt;0, AO27-(AO$30*VALORI!$B$4)-(AO$31*VALORI!$B$4)-(AO$32*VALORI!$B$3)-(AO$33*VALORI!$B$5),0)</f>
        <v>0</v>
      </c>
    </row>
    <row r="54" spans="15:41" ht="15.75" x14ac:dyDescent="0.25">
      <c r="W54" s="28">
        <f>IF(W28&gt;0, W28-(W$30*VALORI!$B$4)-(W$31*VALORI!$B$4)-(W$32*VALORI!$B$3)-(W$33*VALORI!$B$5),0)</f>
        <v>0</v>
      </c>
      <c r="X54" s="28">
        <f>IF(X28&gt;0, X28-(X$30*VALORI!$B$4)-(X$31*VALORI!$B$4)-(X$32*VALORI!$B$3)-(X$33*VALORI!$B$5),0)</f>
        <v>0</v>
      </c>
      <c r="Y54" s="28">
        <f>IF(Y28&gt;0, Y28-(Y$30*VALORI!$B$4)-(Y$31*VALORI!$B$4)-(Y$32*VALORI!$B$3)-(Y$33*VALORI!$B$5),0)</f>
        <v>0</v>
      </c>
      <c r="Z54" s="28">
        <f>IF(Z28&gt;0, Z28-(Z$30*VALORI!$B$4)-(Z$31*VALORI!$B$4)-(Z$32*VALORI!$B$3)-(Z$33*VALORI!$B$5),0)</f>
        <v>0</v>
      </c>
      <c r="AA54" s="28">
        <f>IF(AA28&gt;0, AA28-(AA$30*VALORI!$B$4)-(AA$31*VALORI!$B$4)-(AA$32*VALORI!$B$3)-(AA$33*VALORI!$B$5),0)</f>
        <v>0</v>
      </c>
      <c r="AB54" s="28">
        <f>IF(AB28&gt;0, AB28-(AB$30*VALORI!$B$4)-(AB$31*VALORI!$B$4)-(AB$32*VALORI!$B$3)-(AB$33*VALORI!$B$5),0)</f>
        <v>0</v>
      </c>
      <c r="AC54" s="28">
        <f>IF(AC28&gt;0, AC28-(AC$30*VALORI!$B$4)-(AC$31*VALORI!$B$4)-(AC$32*VALORI!$B$3)-(AC$33*VALORI!$B$5),0)</f>
        <v>0</v>
      </c>
      <c r="AD54" s="28">
        <f>IF(AD28&gt;0, AD28-(AD$30*VALORI!$B$4)-(AD$31*VALORI!$B$4)-(AD$32*VALORI!$B$3)-(AD$33*VALORI!$B$5),0)</f>
        <v>0</v>
      </c>
      <c r="AE54" s="28">
        <f>IF(AE28&gt;0, AE28-(AE$30*VALORI!$B$4)-(AE$31*VALORI!$B$4)-(AE$32*VALORI!$B$3)-(AE$33*VALORI!$B$5),0)</f>
        <v>0</v>
      </c>
      <c r="AF54" s="28">
        <f>IF(AF28&gt;0, AF28-(AF$30*VALORI!$B$4)-(AF$31*VALORI!$B$4)-(AF$32*VALORI!$B$3)-(AF$33*VALORI!$B$5),0)</f>
        <v>0</v>
      </c>
      <c r="AG54" s="28">
        <f>IF(AG28&gt;0, AG28-(AG$30*VALORI!$B$4)-(AG$31*VALORI!$B$4)-(AG$32*VALORI!$B$3)-(AG$33*VALORI!$B$5),0)</f>
        <v>0</v>
      </c>
      <c r="AH54" s="28">
        <f>IF(AH28&gt;0, AH28-(AH$30*VALORI!$B$4)-(AH$31*VALORI!$B$4)-(AH$32*VALORI!$B$3)-(AH$33*VALORI!$B$5),0)</f>
        <v>0</v>
      </c>
      <c r="AI54" s="28">
        <f>IF(AI28&gt;0, AI28-(AI$30*VALORI!$B$4)-(AI$31*VALORI!$B$4)-(AI$32*VALORI!$B$3)-(AI$33*VALORI!$B$5),0)</f>
        <v>0</v>
      </c>
      <c r="AJ54" s="28">
        <f>IF(AJ28&gt;0, AJ28-(AJ$30*VALORI!$B$4)-(AJ$31*VALORI!$B$4)-(AJ$32*VALORI!$B$3)-(AJ$33*VALORI!$B$5),0)</f>
        <v>0</v>
      </c>
      <c r="AK54" s="28">
        <f>IF(AK28&gt;0, AK28-(AK$30*VALORI!$B$4)-(AK$31*VALORI!$B$4)-(AK$32*VALORI!$B$3)-(AK$33*VALORI!$B$5),0)</f>
        <v>0</v>
      </c>
      <c r="AL54" s="28">
        <f>IF(AL28&gt;0, AL28-(AL$30*VALORI!$B$4)-(AL$31*VALORI!$B$4)-(AL$32*VALORI!$B$3)-(AL$33*VALORI!$B$5),0)</f>
        <v>0</v>
      </c>
      <c r="AM54" s="28">
        <f>IF(AM28&gt;0, AM28-(AM$30*VALORI!$B$4)-(AM$31*VALORI!$B$4)-(AM$32*VALORI!$B$3)-(AM$33*VALORI!$B$5),0)</f>
        <v>0</v>
      </c>
      <c r="AN54" s="28">
        <f>IF(AN28&gt;0, AN28-(AN$30*VALORI!$B$4)-(AN$31*VALORI!$B$4)-(AN$32*VALORI!$B$3)-(AN$33*VALORI!$B$5),0)</f>
        <v>0</v>
      </c>
      <c r="AO54" s="28">
        <f>IF(AO28&gt;0, AO28-(AO$30*VALORI!$B$4)-(AO$31*VALORI!$B$4)-(AO$32*VALORI!$B$3)-(AO$33*VALORI!$B$5),0)</f>
        <v>0</v>
      </c>
    </row>
    <row r="56" spans="15:41" ht="69" customHeight="1" x14ac:dyDescent="0.25"/>
    <row r="57" spans="15:41" ht="42" x14ac:dyDescent="0.25">
      <c r="W57" s="94" t="s">
        <v>340</v>
      </c>
      <c r="X57" s="94" t="s">
        <v>340</v>
      </c>
      <c r="Y57" s="94" t="s">
        <v>340</v>
      </c>
      <c r="Z57" s="94" t="s">
        <v>340</v>
      </c>
      <c r="AA57" s="94" t="s">
        <v>340</v>
      </c>
      <c r="AB57" s="94" t="s">
        <v>340</v>
      </c>
      <c r="AC57" s="94" t="s">
        <v>340</v>
      </c>
      <c r="AD57" s="94" t="s">
        <v>340</v>
      </c>
      <c r="AE57" s="94" t="s">
        <v>340</v>
      </c>
      <c r="AF57" s="94" t="s">
        <v>340</v>
      </c>
      <c r="AG57" s="94" t="s">
        <v>340</v>
      </c>
      <c r="AH57" s="94" t="s">
        <v>340</v>
      </c>
      <c r="AI57" s="94" t="s">
        <v>340</v>
      </c>
      <c r="AJ57" s="94" t="s">
        <v>340</v>
      </c>
      <c r="AK57" s="94" t="s">
        <v>340</v>
      </c>
      <c r="AL57" s="94" t="s">
        <v>340</v>
      </c>
      <c r="AM57" s="94" t="s">
        <v>340</v>
      </c>
      <c r="AN57" s="94" t="s">
        <v>340</v>
      </c>
      <c r="AO57" s="94" t="s">
        <v>340</v>
      </c>
    </row>
    <row r="58" spans="15:41" ht="15.75" x14ac:dyDescent="0.25">
      <c r="W58" s="28">
        <f>IF(W3&gt;0, (W$30*VALORI!$B$4)+(W$31*VALORI!$B$4)+(W$32*VALORI!$B$3)+(W$33*VALORI!$B$5),0)</f>
        <v>0</v>
      </c>
      <c r="X58" s="28">
        <f>IF(X3&gt;0, (X$30*VALORI!$B$4)+(X$31*VALORI!$B$4)+(X$32*VALORI!$B$3)+(X$33*VALORI!$B$5),0)</f>
        <v>0</v>
      </c>
      <c r="Y58" s="28">
        <f>IF(Y3&gt;0, (Y$30*VALORI!$B$4)+(Y$31*VALORI!$B$4)+(Y$32*VALORI!$B$3)+(Y$33*VALORI!$B$5),0)</f>
        <v>0</v>
      </c>
      <c r="Z58" s="28">
        <f>IF(Z3&gt;0, (Z$30*VALORI!$B$4)+(Z$31*VALORI!$B$4)+(Z$32*VALORI!$B$3)+(Z$33*VALORI!$B$5),0)</f>
        <v>0</v>
      </c>
      <c r="AA58" s="28">
        <f>IF(AA3&gt;0, (AA$30*VALORI!$B$4)+(AA$31*VALORI!$B$4)+(AA$32*VALORI!$B$3)+(AA$33*VALORI!$B$5),0)</f>
        <v>0</v>
      </c>
      <c r="AB58" s="28">
        <f>IF(AB3&gt;0, (AB$30*VALORI!$B$4)+(AB$31*VALORI!$B$4)+(AB$32*VALORI!$B$3)+(AB$33*VALORI!$B$5),0)</f>
        <v>0</v>
      </c>
      <c r="AC58" s="28">
        <f>IF(AC3&gt;0, (AC$30*VALORI!$B$4)+(AC$31*VALORI!$B$4)+(AC$32*VALORI!$B$3)+(AC$33*VALORI!$B$5),0)</f>
        <v>0</v>
      </c>
      <c r="AD58" s="28">
        <f>IF(AD3&gt;0, (AD$30*VALORI!$B$4)+(AD$31*VALORI!$B$4)+(AD$32*VALORI!$B$3)+(AD$33*VALORI!$B$5),0)</f>
        <v>0</v>
      </c>
      <c r="AE58" s="28">
        <f>IF(AE3&gt;0, (AE$30*VALORI!$B$4)+(AE$31*VALORI!$B$4)+(AE$32*VALORI!$B$3)+(AE$33*VALORI!$B$5),0)</f>
        <v>0</v>
      </c>
      <c r="AF58" s="28">
        <f>IF(AF3&gt;0, (AF$30*VALORI!$B$4)+(AF$31*VALORI!$B$4)+(AF$32*VALORI!$B$3)+(AF$33*VALORI!$B$5),0)</f>
        <v>0</v>
      </c>
      <c r="AG58" s="28">
        <f>IF(AG3&gt;0, (AG$30*VALORI!$B$4)+(AG$31*VALORI!$B$4)+(AG$32*VALORI!$B$3)+(AG$33*VALORI!$B$5),0)</f>
        <v>0</v>
      </c>
      <c r="AH58" s="28">
        <f>IF(AH3&gt;0, (AH$30*VALORI!$B$4)+(AH$31*VALORI!$B$4)+(AH$32*VALORI!$B$3)+(AH$33*VALORI!$B$5),0)</f>
        <v>0</v>
      </c>
      <c r="AI58" s="28">
        <f>IF(AI3&gt;0, (AI$30*VALORI!$B$4)+(AI$31*VALORI!$B$4)+(AI$32*VALORI!$B$3)+(AI$33*VALORI!$B$5),0)</f>
        <v>0</v>
      </c>
      <c r="AJ58" s="28">
        <f>IF(AJ3&gt;0, (AJ$30*VALORI!$B$4)+(AJ$31*VALORI!$B$4)+(AJ$32*VALORI!$B$3)+(AJ$33*VALORI!$B$5),0)</f>
        <v>0</v>
      </c>
      <c r="AK58" s="28">
        <f>IF(AK3&gt;0, (AK$30*VALORI!$B$4)+(AK$31*VALORI!$B$4)+(AK$32*VALORI!$B$3)+(AK$33*VALORI!$B$5),0)</f>
        <v>0</v>
      </c>
      <c r="AL58" s="28">
        <f>IF(AL3&gt;0, (AL$30*VALORI!$B$4)+(AL$31*VALORI!$B$4)+(AL$32*VALORI!$B$3)+(AL$33*VALORI!$B$5),0)</f>
        <v>0</v>
      </c>
      <c r="AM58" s="28">
        <f>IF(AM3&gt;0, (AM$30*VALORI!$B$4)+(AM$31*VALORI!$B$4)+(AM$32*VALORI!$B$3)+(AM$33*VALORI!$B$5),0)</f>
        <v>0</v>
      </c>
      <c r="AN58" s="28">
        <f>IF(AN3&gt;0, (AN$30*VALORI!$B$4)+(AN$31*VALORI!$B$4)+(AN$32*VALORI!$B$3)+(AN$33*VALORI!$B$5),0)</f>
        <v>0</v>
      </c>
      <c r="AO58" s="28">
        <f>IF(AO3&gt;0, (AO$30*VALORI!$B$4)+(AO$31*VALORI!$B$4)+(AO$32*VALORI!$B$3)+(AO$33*VALORI!$B$5),0)</f>
        <v>0</v>
      </c>
    </row>
    <row r="59" spans="15:41" ht="15.75" x14ac:dyDescent="0.25">
      <c r="W59" s="28">
        <f>IF(W4&gt;0, (W$30*VALORI!$B$4)+(W$31*VALORI!$B$4)+(W$32*VALORI!$B$3)+(W$33*VALORI!$B$5),0)</f>
        <v>0</v>
      </c>
      <c r="X59" s="28">
        <f>IF(X4&gt;0, (X$30*VALORI!$B$4)+(X$31*VALORI!$B$4)+(X$32*VALORI!$B$3)+(X$33*VALORI!$B$5),0)</f>
        <v>0</v>
      </c>
      <c r="Y59" s="28">
        <f>IF(Y4&gt;0, (Y$30*VALORI!$B$4)+(Y$31*VALORI!$B$4)+(Y$32*VALORI!$B$3)+(Y$33*VALORI!$B$5),0)</f>
        <v>0</v>
      </c>
      <c r="Z59" s="28">
        <f>IF(Z4&gt;0, (Z$30*VALORI!$B$4)+(Z$31*VALORI!$B$4)+(Z$32*VALORI!$B$3)+(Z$33*VALORI!$B$5),0)</f>
        <v>0</v>
      </c>
      <c r="AA59" s="28">
        <f>IF(AA4&gt;0, (AA$30*VALORI!$B$4)+(AA$31*VALORI!$B$4)+(AA$32*VALORI!$B$3)+(AA$33*VALORI!$B$5),0)</f>
        <v>0</v>
      </c>
      <c r="AB59" s="28">
        <f>IF(AB4&gt;0, (AB$30*VALORI!$B$4)+(AB$31*VALORI!$B$4)+(AB$32*VALORI!$B$3)+(AB$33*VALORI!$B$5),0)</f>
        <v>0</v>
      </c>
      <c r="AC59" s="28">
        <f>IF(AC4&gt;0, (AC$30*VALORI!$B$4)+(AC$31*VALORI!$B$4)+(AC$32*VALORI!$B$3)+(AC$33*VALORI!$B$5),0)</f>
        <v>0</v>
      </c>
      <c r="AD59" s="28">
        <f>IF(AD4&gt;0, (AD$30*VALORI!$B$4)+(AD$31*VALORI!$B$4)+(AD$32*VALORI!$B$3)+(AD$33*VALORI!$B$5),0)</f>
        <v>0</v>
      </c>
      <c r="AE59" s="28">
        <f>IF(AE4&gt;0, (AE$30*VALORI!$B$4)+(AE$31*VALORI!$B$4)+(AE$32*VALORI!$B$3)+(AE$33*VALORI!$B$5),0)</f>
        <v>0</v>
      </c>
      <c r="AF59" s="28">
        <f>IF(AF4&gt;0, (AF$30*VALORI!$B$4)+(AF$31*VALORI!$B$4)+(AF$32*VALORI!$B$3)+(AF$33*VALORI!$B$5),0)</f>
        <v>0</v>
      </c>
      <c r="AG59" s="28">
        <f>IF(AG4&gt;0, (AG$30*VALORI!$B$4)+(AG$31*VALORI!$B$4)+(AG$32*VALORI!$B$3)+(AG$33*VALORI!$B$5),0)</f>
        <v>0</v>
      </c>
      <c r="AH59" s="28">
        <f>IF(AH4&gt;0, (AH$30*VALORI!$B$4)+(AH$31*VALORI!$B$4)+(AH$32*VALORI!$B$3)+(AH$33*VALORI!$B$5),0)</f>
        <v>0</v>
      </c>
      <c r="AI59" s="28">
        <f>IF(AI4&gt;0, (AI$30*VALORI!$B$4)+(AI$31*VALORI!$B$4)+(AI$32*VALORI!$B$3)+(AI$33*VALORI!$B$5),0)</f>
        <v>0</v>
      </c>
      <c r="AJ59" s="28">
        <f>IF(AJ4&gt;0, (AJ$30*VALORI!$B$4)+(AJ$31*VALORI!$B$4)+(AJ$32*VALORI!$B$3)+(AJ$33*VALORI!$B$5),0)</f>
        <v>0</v>
      </c>
      <c r="AK59" s="28">
        <f>IF(AK4&gt;0, (AK$30*VALORI!$B$4)+(AK$31*VALORI!$B$4)+(AK$32*VALORI!$B$3)+(AK$33*VALORI!$B$5),0)</f>
        <v>0</v>
      </c>
      <c r="AL59" s="28">
        <f>IF(AL4&gt;0, (AL$30*VALORI!$B$4)+(AL$31*VALORI!$B$4)+(AL$32*VALORI!$B$3)+(AL$33*VALORI!$B$5),0)</f>
        <v>0</v>
      </c>
      <c r="AM59" s="28">
        <f>IF(AM4&gt;0, (AM$30*VALORI!$B$4)+(AM$31*VALORI!$B$4)+(AM$32*VALORI!$B$3)+(AM$33*VALORI!$B$5),0)</f>
        <v>0</v>
      </c>
      <c r="AN59" s="28">
        <f>IF(AN4&gt;0, (AN$30*VALORI!$B$4)+(AN$31*VALORI!$B$4)+(AN$32*VALORI!$B$3)+(AN$33*VALORI!$B$5),0)</f>
        <v>0</v>
      </c>
      <c r="AO59" s="28">
        <f>IF(AO4&gt;0, (AO$30*VALORI!$B$4)+(AO$31*VALORI!$B$4)+(AO$32*VALORI!$B$3)+(AO$33*VALORI!$B$5),0)</f>
        <v>0</v>
      </c>
    </row>
    <row r="60" spans="15:41" ht="15.75" x14ac:dyDescent="0.25">
      <c r="W60" s="28">
        <f>IF(W5&gt;0, (W$30*VALORI!$B$4)+(W$31*VALORI!$B$4)+(W$32*VALORI!$B$3)+(W$33*VALORI!$B$5),0)</f>
        <v>1240</v>
      </c>
      <c r="X60" s="28">
        <f>IF(X5&gt;0, (X$30*VALORI!$B$4)+(X$31*VALORI!$B$4)+(X$32*VALORI!$B$3)+(X$33*VALORI!$B$5),0)</f>
        <v>3720</v>
      </c>
      <c r="Y60" s="28">
        <f>IF(Y5&gt;0, (Y$30*VALORI!$B$4)+(Y$31*VALORI!$B$4)+(Y$32*VALORI!$B$3)+(Y$33*VALORI!$B$5),0)</f>
        <v>992</v>
      </c>
      <c r="Z60" s="28">
        <f>IF(Z5&gt;0, (Z$30*VALORI!$B$4)+(Z$31*VALORI!$B$4)+(Z$32*VALORI!$B$3)+(Z$33*VALORI!$B$5),0)</f>
        <v>992</v>
      </c>
      <c r="AA60" s="28">
        <f>IF(AA5&gt;0, (AA$30*VALORI!$B$4)+(AA$31*VALORI!$B$4)+(AA$32*VALORI!$B$3)+(AA$33*VALORI!$B$5),0)</f>
        <v>876</v>
      </c>
      <c r="AB60" s="28">
        <f>IF(AB5&gt;0, (AB$30*VALORI!$B$4)+(AB$31*VALORI!$B$4)+(AB$32*VALORI!$B$3)+(AB$33*VALORI!$B$5),0)</f>
        <v>103</v>
      </c>
      <c r="AC60" s="28">
        <f>IF(AC5&gt;0, (AC$30*VALORI!$B$4)+(AC$31*VALORI!$B$4)+(AC$32*VALORI!$B$3)+(AC$33*VALORI!$B$5),0)</f>
        <v>794</v>
      </c>
      <c r="AD60" s="28">
        <f>IF(AD5&gt;0, (AD$30*VALORI!$B$4)+(AD$31*VALORI!$B$4)+(AD$32*VALORI!$B$3)+(AD$33*VALORI!$B$5),0)</f>
        <v>2354</v>
      </c>
      <c r="AE60" s="28">
        <f>IF(AE5&gt;0, (AE$30*VALORI!$B$4)+(AE$31*VALORI!$B$4)+(AE$32*VALORI!$B$3)+(AE$33*VALORI!$B$5),0)</f>
        <v>1268</v>
      </c>
      <c r="AF60" s="28">
        <f>IF(AF5&gt;0, (AF$30*VALORI!$B$4)+(AF$31*VALORI!$B$4)+(AF$32*VALORI!$B$3)+(AF$33*VALORI!$B$5),0)</f>
        <v>1123</v>
      </c>
      <c r="AG60" s="28">
        <f>IF(AG5&gt;0, (AG$30*VALORI!$B$4)+(AG$31*VALORI!$B$4)+(AG$32*VALORI!$B$3)+(AG$33*VALORI!$B$5),0)</f>
        <v>1123</v>
      </c>
      <c r="AH60" s="28">
        <f>IF(AH5&gt;0, (AH$30*VALORI!$B$4)+(AH$31*VALORI!$B$4)+(AH$32*VALORI!$B$3)+(AH$33*VALORI!$B$5),0)</f>
        <v>148</v>
      </c>
      <c r="AI60" s="28">
        <f>IF(AI5&gt;0, (AI$30*VALORI!$B$4)+(AI$31*VALORI!$B$4)+(AI$32*VALORI!$B$3)+(AI$33*VALORI!$B$5),0)</f>
        <v>1600</v>
      </c>
      <c r="AJ60" s="28">
        <f>IF(AJ5&gt;0, (AJ$30*VALORI!$B$4)+(AJ$31*VALORI!$B$4)+(AJ$32*VALORI!$B$3)+(AJ$33*VALORI!$B$5),0)</f>
        <v>0</v>
      </c>
      <c r="AK60" s="28">
        <f>IF(AK5&gt;0, (AK$30*VALORI!$B$4)+(AK$31*VALORI!$B$4)+(AK$32*VALORI!$B$3)+(AK$33*VALORI!$B$5),0)</f>
        <v>0</v>
      </c>
      <c r="AL60" s="28">
        <f>IF(AL5&gt;0, (AL$30*VALORI!$B$4)+(AL$31*VALORI!$B$4)+(AL$32*VALORI!$B$3)+(AL$33*VALORI!$B$5),0)</f>
        <v>0</v>
      </c>
      <c r="AM60" s="28">
        <f>IF(AM5&gt;0, (AM$30*VALORI!$B$4)+(AM$31*VALORI!$B$4)+(AM$32*VALORI!$B$3)+(AM$33*VALORI!$B$5),0)</f>
        <v>642</v>
      </c>
      <c r="AN60" s="28">
        <f>IF(AN5&gt;0, (AN$30*VALORI!$B$4)+(AN$31*VALORI!$B$4)+(AN$32*VALORI!$B$3)+(AN$33*VALORI!$B$5),0)</f>
        <v>0</v>
      </c>
      <c r="AO60" s="28">
        <f>IF(AO5&gt;0, (AO$30*VALORI!$B$4)+(AO$31*VALORI!$B$4)+(AO$32*VALORI!$B$3)+(AO$33*VALORI!$B$5),0)</f>
        <v>1484</v>
      </c>
    </row>
    <row r="61" spans="15:41" ht="15.75" x14ac:dyDescent="0.25">
      <c r="W61" s="28">
        <f>IF(W6&gt;0, (W$30*VALORI!$B$4)+(W$31*VALORI!$B$4)+(W$32*VALORI!$B$3)+(W$33*VALORI!$B$5),0)</f>
        <v>1240</v>
      </c>
      <c r="X61" s="28">
        <f>IF(X6&gt;0, (X$30*VALORI!$B$4)+(X$31*VALORI!$B$4)+(X$32*VALORI!$B$3)+(X$33*VALORI!$B$5),0)</f>
        <v>3720</v>
      </c>
      <c r="Y61" s="28">
        <f>IF(Y6&gt;0, (Y$30*VALORI!$B$4)+(Y$31*VALORI!$B$4)+(Y$32*VALORI!$B$3)+(Y$33*VALORI!$B$5),0)</f>
        <v>992</v>
      </c>
      <c r="Z61" s="28">
        <f>IF(Z6&gt;0, (Z$30*VALORI!$B$4)+(Z$31*VALORI!$B$4)+(Z$32*VALORI!$B$3)+(Z$33*VALORI!$B$5),0)</f>
        <v>992</v>
      </c>
      <c r="AA61" s="28">
        <f>IF(AA6&gt;0, (AA$30*VALORI!$B$4)+(AA$31*VALORI!$B$4)+(AA$32*VALORI!$B$3)+(AA$33*VALORI!$B$5),0)</f>
        <v>876</v>
      </c>
      <c r="AB61" s="28">
        <f>IF(AB6&gt;0, (AB$30*VALORI!$B$4)+(AB$31*VALORI!$B$4)+(AB$32*VALORI!$B$3)+(AB$33*VALORI!$B$5),0)</f>
        <v>103</v>
      </c>
      <c r="AC61" s="28">
        <f>IF(AC6&gt;0, (AC$30*VALORI!$B$4)+(AC$31*VALORI!$B$4)+(AC$32*VALORI!$B$3)+(AC$33*VALORI!$B$5),0)</f>
        <v>794</v>
      </c>
      <c r="AD61" s="28">
        <f>IF(AD6&gt;0, (AD$30*VALORI!$B$4)+(AD$31*VALORI!$B$4)+(AD$32*VALORI!$B$3)+(AD$33*VALORI!$B$5),0)</f>
        <v>2354</v>
      </c>
      <c r="AE61" s="28">
        <f>IF(AE6&gt;0, (AE$30*VALORI!$B$4)+(AE$31*VALORI!$B$4)+(AE$32*VALORI!$B$3)+(AE$33*VALORI!$B$5),0)</f>
        <v>1268</v>
      </c>
      <c r="AF61" s="28">
        <f>IF(AF6&gt;0, (AF$30*VALORI!$B$4)+(AF$31*VALORI!$B$4)+(AF$32*VALORI!$B$3)+(AF$33*VALORI!$B$5),0)</f>
        <v>1123</v>
      </c>
      <c r="AG61" s="28">
        <f>IF(AG6&gt;0, (AG$30*VALORI!$B$4)+(AG$31*VALORI!$B$4)+(AG$32*VALORI!$B$3)+(AG$33*VALORI!$B$5),0)</f>
        <v>1123</v>
      </c>
      <c r="AH61" s="28">
        <f>IF(AH6&gt;0, (AH$30*VALORI!$B$4)+(AH$31*VALORI!$B$4)+(AH$32*VALORI!$B$3)+(AH$33*VALORI!$B$5),0)</f>
        <v>148</v>
      </c>
      <c r="AI61" s="28">
        <f>IF(AI6&gt;0, (AI$30*VALORI!$B$4)+(AI$31*VALORI!$B$4)+(AI$32*VALORI!$B$3)+(AI$33*VALORI!$B$5),0)</f>
        <v>1600</v>
      </c>
      <c r="AJ61" s="28">
        <f>IF(AJ6&gt;0, (AJ$30*VALORI!$B$4)+(AJ$31*VALORI!$B$4)+(AJ$32*VALORI!$B$3)+(AJ$33*VALORI!$B$5),0)</f>
        <v>0</v>
      </c>
      <c r="AK61" s="28">
        <f>IF(AK6&gt;0, (AK$30*VALORI!$B$4)+(AK$31*VALORI!$B$4)+(AK$32*VALORI!$B$3)+(AK$33*VALORI!$B$5),0)</f>
        <v>0</v>
      </c>
      <c r="AL61" s="28">
        <f>IF(AL6&gt;0, (AL$30*VALORI!$B$4)+(AL$31*VALORI!$B$4)+(AL$32*VALORI!$B$3)+(AL$33*VALORI!$B$5),0)</f>
        <v>0</v>
      </c>
      <c r="AM61" s="28">
        <f>IF(AM6&gt;0, (AM$30*VALORI!$B$4)+(AM$31*VALORI!$B$4)+(AM$32*VALORI!$B$3)+(AM$33*VALORI!$B$5),0)</f>
        <v>642</v>
      </c>
      <c r="AN61" s="28">
        <f>IF(AN6&gt;0, (AN$30*VALORI!$B$4)+(AN$31*VALORI!$B$4)+(AN$32*VALORI!$B$3)+(AN$33*VALORI!$B$5),0)</f>
        <v>0</v>
      </c>
      <c r="AO61" s="28">
        <f>IF(AO6&gt;0, (AO$30*VALORI!$B$4)+(AO$31*VALORI!$B$4)+(AO$32*VALORI!$B$3)+(AO$33*VALORI!$B$5),0)</f>
        <v>1484</v>
      </c>
    </row>
    <row r="62" spans="15:41" ht="15.75" x14ac:dyDescent="0.25">
      <c r="W62" s="28">
        <f>IF(W7&gt;0, (W$30*VALORI!$B$4)+(W$31*VALORI!$B$4)+(W$32*VALORI!$B$3)+(W$33*VALORI!$B$5),0)</f>
        <v>1240</v>
      </c>
      <c r="X62" s="28">
        <f>IF(X7&gt;0, (X$30*VALORI!$B$4)+(X$31*VALORI!$B$4)+(X$32*VALORI!$B$3)+(X$33*VALORI!$B$5),0)</f>
        <v>3720</v>
      </c>
      <c r="Y62" s="28">
        <f>IF(Y7&gt;0, (Y$30*VALORI!$B$4)+(Y$31*VALORI!$B$4)+(Y$32*VALORI!$B$3)+(Y$33*VALORI!$B$5),0)</f>
        <v>992</v>
      </c>
      <c r="Z62" s="28">
        <f>IF(Z7&gt;0, (Z$30*VALORI!$B$4)+(Z$31*VALORI!$B$4)+(Z$32*VALORI!$B$3)+(Z$33*VALORI!$B$5),0)</f>
        <v>992</v>
      </c>
      <c r="AA62" s="28">
        <f>IF(AA7&gt;0, (AA$30*VALORI!$B$4)+(AA$31*VALORI!$B$4)+(AA$32*VALORI!$B$3)+(AA$33*VALORI!$B$5),0)</f>
        <v>876</v>
      </c>
      <c r="AB62" s="28">
        <f>IF(AB7&gt;0, (AB$30*VALORI!$B$4)+(AB$31*VALORI!$B$4)+(AB$32*VALORI!$B$3)+(AB$33*VALORI!$B$5),0)</f>
        <v>103</v>
      </c>
      <c r="AC62" s="28">
        <f>IF(AC7&gt;0, (AC$30*VALORI!$B$4)+(AC$31*VALORI!$B$4)+(AC$32*VALORI!$B$3)+(AC$33*VALORI!$B$5),0)</f>
        <v>794</v>
      </c>
      <c r="AD62" s="28">
        <f>IF(AD7&gt;0, (AD$30*VALORI!$B$4)+(AD$31*VALORI!$B$4)+(AD$32*VALORI!$B$3)+(AD$33*VALORI!$B$5),0)</f>
        <v>2354</v>
      </c>
      <c r="AE62" s="28">
        <f>IF(AE7&gt;0, (AE$30*VALORI!$B$4)+(AE$31*VALORI!$B$4)+(AE$32*VALORI!$B$3)+(AE$33*VALORI!$B$5),0)</f>
        <v>1268</v>
      </c>
      <c r="AF62" s="28">
        <f>IF(AF7&gt;0, (AF$30*VALORI!$B$4)+(AF$31*VALORI!$B$4)+(AF$32*VALORI!$B$3)+(AF$33*VALORI!$B$5),0)</f>
        <v>1123</v>
      </c>
      <c r="AG62" s="28">
        <f>IF(AG7&gt;0, (AG$30*VALORI!$B$4)+(AG$31*VALORI!$B$4)+(AG$32*VALORI!$B$3)+(AG$33*VALORI!$B$5),0)</f>
        <v>1123</v>
      </c>
      <c r="AH62" s="28">
        <f>IF(AH7&gt;0, (AH$30*VALORI!$B$4)+(AH$31*VALORI!$B$4)+(AH$32*VALORI!$B$3)+(AH$33*VALORI!$B$5),0)</f>
        <v>148</v>
      </c>
      <c r="AI62" s="28">
        <f>IF(AI7&gt;0, (AI$30*VALORI!$B$4)+(AI$31*VALORI!$B$4)+(AI$32*VALORI!$B$3)+(AI$33*VALORI!$B$5),0)</f>
        <v>1600</v>
      </c>
      <c r="AJ62" s="28">
        <f>IF(AJ7&gt;0, (AJ$30*VALORI!$B$4)+(AJ$31*VALORI!$B$4)+(AJ$32*VALORI!$B$3)+(AJ$33*VALORI!$B$5),0)</f>
        <v>0</v>
      </c>
      <c r="AK62" s="28">
        <f>IF(AK7&gt;0, (AK$30*VALORI!$B$4)+(AK$31*VALORI!$B$4)+(AK$32*VALORI!$B$3)+(AK$33*VALORI!$B$5),0)</f>
        <v>0</v>
      </c>
      <c r="AL62" s="28">
        <f>IF(AL7&gt;0, (AL$30*VALORI!$B$4)+(AL$31*VALORI!$B$4)+(AL$32*VALORI!$B$3)+(AL$33*VALORI!$B$5),0)</f>
        <v>0</v>
      </c>
      <c r="AM62" s="28">
        <f>IF(AM7&gt;0, (AM$30*VALORI!$B$4)+(AM$31*VALORI!$B$4)+(AM$32*VALORI!$B$3)+(AM$33*VALORI!$B$5),0)</f>
        <v>642</v>
      </c>
      <c r="AN62" s="28">
        <f>IF(AN7&gt;0, (AN$30*VALORI!$B$4)+(AN$31*VALORI!$B$4)+(AN$32*VALORI!$B$3)+(AN$33*VALORI!$B$5),0)</f>
        <v>0</v>
      </c>
      <c r="AO62" s="28">
        <f>IF(AO7&gt;0, (AO$30*VALORI!$B$4)+(AO$31*VALORI!$B$4)+(AO$32*VALORI!$B$3)+(AO$33*VALORI!$B$5),0)</f>
        <v>1484</v>
      </c>
    </row>
    <row r="63" spans="15:41" ht="15.75" x14ac:dyDescent="0.25">
      <c r="W63" s="28">
        <f>IF(W8&gt;0, (W$30*VALORI!$B$4)+(W$31*VALORI!$B$4)+(W$32*VALORI!$B$3)+(W$33*VALORI!$B$5),0)</f>
        <v>1240</v>
      </c>
      <c r="X63" s="28">
        <f>IF(X8&gt;0, (X$30*VALORI!$B$4)+(X$31*VALORI!$B$4)+(X$32*VALORI!$B$3)+(X$33*VALORI!$B$5),0)</f>
        <v>3720</v>
      </c>
      <c r="Y63" s="28">
        <f>IF(Y8&gt;0, (Y$30*VALORI!$B$4)+(Y$31*VALORI!$B$4)+(Y$32*VALORI!$B$3)+(Y$33*VALORI!$B$5),0)</f>
        <v>992</v>
      </c>
      <c r="Z63" s="28">
        <f>IF(Z8&gt;0, (Z$30*VALORI!$B$4)+(Z$31*VALORI!$B$4)+(Z$32*VALORI!$B$3)+(Z$33*VALORI!$B$5),0)</f>
        <v>992</v>
      </c>
      <c r="AA63" s="28">
        <f>IF(AA8&gt;0, (AA$30*VALORI!$B$4)+(AA$31*VALORI!$B$4)+(AA$32*VALORI!$B$3)+(AA$33*VALORI!$B$5),0)</f>
        <v>876</v>
      </c>
      <c r="AB63" s="28">
        <f>IF(AB8&gt;0, (AB$30*VALORI!$B$4)+(AB$31*VALORI!$B$4)+(AB$32*VALORI!$B$3)+(AB$33*VALORI!$B$5),0)</f>
        <v>103</v>
      </c>
      <c r="AC63" s="28">
        <f>IF(AC8&gt;0, (AC$30*VALORI!$B$4)+(AC$31*VALORI!$B$4)+(AC$32*VALORI!$B$3)+(AC$33*VALORI!$B$5),0)</f>
        <v>794</v>
      </c>
      <c r="AD63" s="28">
        <f>IF(AD8&gt;0, (AD$30*VALORI!$B$4)+(AD$31*VALORI!$B$4)+(AD$32*VALORI!$B$3)+(AD$33*VALORI!$B$5),0)</f>
        <v>2354</v>
      </c>
      <c r="AE63" s="28">
        <f>IF(AE8&gt;0, (AE$30*VALORI!$B$4)+(AE$31*VALORI!$B$4)+(AE$32*VALORI!$B$3)+(AE$33*VALORI!$B$5),0)</f>
        <v>1268</v>
      </c>
      <c r="AF63" s="28">
        <f>IF(AF8&gt;0, (AF$30*VALORI!$B$4)+(AF$31*VALORI!$B$4)+(AF$32*VALORI!$B$3)+(AF$33*VALORI!$B$5),0)</f>
        <v>1123</v>
      </c>
      <c r="AG63" s="28">
        <f>IF(AG8&gt;0, (AG$30*VALORI!$B$4)+(AG$31*VALORI!$B$4)+(AG$32*VALORI!$B$3)+(AG$33*VALORI!$B$5),0)</f>
        <v>1123</v>
      </c>
      <c r="AH63" s="28">
        <f>IF(AH8&gt;0, (AH$30*VALORI!$B$4)+(AH$31*VALORI!$B$4)+(AH$32*VALORI!$B$3)+(AH$33*VALORI!$B$5),0)</f>
        <v>148</v>
      </c>
      <c r="AI63" s="28">
        <f>IF(AI8&gt;0, (AI$30*VALORI!$B$4)+(AI$31*VALORI!$B$4)+(AI$32*VALORI!$B$3)+(AI$33*VALORI!$B$5),0)</f>
        <v>1600</v>
      </c>
      <c r="AJ63" s="28">
        <f>IF(AJ8&gt;0, (AJ$30*VALORI!$B$4)+(AJ$31*VALORI!$B$4)+(AJ$32*VALORI!$B$3)+(AJ$33*VALORI!$B$5),0)</f>
        <v>0</v>
      </c>
      <c r="AK63" s="28">
        <f>IF(AK8&gt;0, (AK$30*VALORI!$B$4)+(AK$31*VALORI!$B$4)+(AK$32*VALORI!$B$3)+(AK$33*VALORI!$B$5),0)</f>
        <v>0</v>
      </c>
      <c r="AL63" s="28">
        <f>IF(AL8&gt;0, (AL$30*VALORI!$B$4)+(AL$31*VALORI!$B$4)+(AL$32*VALORI!$B$3)+(AL$33*VALORI!$B$5),0)</f>
        <v>0</v>
      </c>
      <c r="AM63" s="28">
        <f>IF(AM8&gt;0, (AM$30*VALORI!$B$4)+(AM$31*VALORI!$B$4)+(AM$32*VALORI!$B$3)+(AM$33*VALORI!$B$5),0)</f>
        <v>642</v>
      </c>
      <c r="AN63" s="28">
        <f>IF(AN8&gt;0, (AN$30*VALORI!$B$4)+(AN$31*VALORI!$B$4)+(AN$32*VALORI!$B$3)+(AN$33*VALORI!$B$5),0)</f>
        <v>0</v>
      </c>
      <c r="AO63" s="28">
        <f>IF(AO8&gt;0, (AO$30*VALORI!$B$4)+(AO$31*VALORI!$B$4)+(AO$32*VALORI!$B$3)+(AO$33*VALORI!$B$5),0)</f>
        <v>1484</v>
      </c>
    </row>
    <row r="64" spans="15:41" ht="15.75" x14ac:dyDescent="0.25">
      <c r="W64" s="28">
        <f>IF(W9&gt;0, (W$30*VALORI!$B$4)+(W$31*VALORI!$B$4)+(W$32*VALORI!$B$3)+(W$33*VALORI!$B$5),0)</f>
        <v>1240</v>
      </c>
      <c r="X64" s="28">
        <f>IF(X9&gt;0, (X$30*VALORI!$B$4)+(X$31*VALORI!$B$4)+(X$32*VALORI!$B$3)+(X$33*VALORI!$B$5),0)</f>
        <v>3720</v>
      </c>
      <c r="Y64" s="28">
        <f>IF(Y9&gt;0, (Y$30*VALORI!$B$4)+(Y$31*VALORI!$B$4)+(Y$32*VALORI!$B$3)+(Y$33*VALORI!$B$5),0)</f>
        <v>992</v>
      </c>
      <c r="Z64" s="28">
        <f>IF(Z9&gt;0, (Z$30*VALORI!$B$4)+(Z$31*VALORI!$B$4)+(Z$32*VALORI!$B$3)+(Z$33*VALORI!$B$5),0)</f>
        <v>992</v>
      </c>
      <c r="AA64" s="28">
        <f>IF(AA9&gt;0, (AA$30*VALORI!$B$4)+(AA$31*VALORI!$B$4)+(AA$32*VALORI!$B$3)+(AA$33*VALORI!$B$5),0)</f>
        <v>876</v>
      </c>
      <c r="AB64" s="28">
        <f>IF(AB9&gt;0, (AB$30*VALORI!$B$4)+(AB$31*VALORI!$B$4)+(AB$32*VALORI!$B$3)+(AB$33*VALORI!$B$5),0)</f>
        <v>103</v>
      </c>
      <c r="AC64" s="28">
        <f>IF(AC9&gt;0, (AC$30*VALORI!$B$4)+(AC$31*VALORI!$B$4)+(AC$32*VALORI!$B$3)+(AC$33*VALORI!$B$5),0)</f>
        <v>794</v>
      </c>
      <c r="AD64" s="28">
        <f>IF(AD9&gt;0, (AD$30*VALORI!$B$4)+(AD$31*VALORI!$B$4)+(AD$32*VALORI!$B$3)+(AD$33*VALORI!$B$5),0)</f>
        <v>2354</v>
      </c>
      <c r="AE64" s="28">
        <f>IF(AE9&gt;0, (AE$30*VALORI!$B$4)+(AE$31*VALORI!$B$4)+(AE$32*VALORI!$B$3)+(AE$33*VALORI!$B$5),0)</f>
        <v>1268</v>
      </c>
      <c r="AF64" s="28">
        <f>IF(AF9&gt;0, (AF$30*VALORI!$B$4)+(AF$31*VALORI!$B$4)+(AF$32*VALORI!$B$3)+(AF$33*VALORI!$B$5),0)</f>
        <v>1123</v>
      </c>
      <c r="AG64" s="28">
        <f>IF(AG9&gt;0, (AG$30*VALORI!$B$4)+(AG$31*VALORI!$B$4)+(AG$32*VALORI!$B$3)+(AG$33*VALORI!$B$5),0)</f>
        <v>1123</v>
      </c>
      <c r="AH64" s="28">
        <f>IF(AH9&gt;0, (AH$30*VALORI!$B$4)+(AH$31*VALORI!$B$4)+(AH$32*VALORI!$B$3)+(AH$33*VALORI!$B$5),0)</f>
        <v>148</v>
      </c>
      <c r="AI64" s="28">
        <f>IF(AI9&gt;0, (AI$30*VALORI!$B$4)+(AI$31*VALORI!$B$4)+(AI$32*VALORI!$B$3)+(AI$33*VALORI!$B$5),0)</f>
        <v>1600</v>
      </c>
      <c r="AJ64" s="28">
        <f>IF(AJ9&gt;0, (AJ$30*VALORI!$B$4)+(AJ$31*VALORI!$B$4)+(AJ$32*VALORI!$B$3)+(AJ$33*VALORI!$B$5),0)</f>
        <v>0</v>
      </c>
      <c r="AK64" s="28">
        <f>IF(AK9&gt;0, (AK$30*VALORI!$B$4)+(AK$31*VALORI!$B$4)+(AK$32*VALORI!$B$3)+(AK$33*VALORI!$B$5),0)</f>
        <v>0</v>
      </c>
      <c r="AL64" s="28">
        <f>IF(AL9&gt;0, (AL$30*VALORI!$B$4)+(AL$31*VALORI!$B$4)+(AL$32*VALORI!$B$3)+(AL$33*VALORI!$B$5),0)</f>
        <v>0</v>
      </c>
      <c r="AM64" s="28">
        <f>IF(AM9&gt;0, (AM$30*VALORI!$B$4)+(AM$31*VALORI!$B$4)+(AM$32*VALORI!$B$3)+(AM$33*VALORI!$B$5),0)</f>
        <v>642</v>
      </c>
      <c r="AN64" s="28">
        <f>IF(AN9&gt;0, (AN$30*VALORI!$B$4)+(AN$31*VALORI!$B$4)+(AN$32*VALORI!$B$3)+(AN$33*VALORI!$B$5),0)</f>
        <v>0</v>
      </c>
      <c r="AO64" s="28">
        <f>IF(AO9&gt;0, (AO$30*VALORI!$B$4)+(AO$31*VALORI!$B$4)+(AO$32*VALORI!$B$3)+(AO$33*VALORI!$B$5),0)</f>
        <v>1484</v>
      </c>
    </row>
    <row r="65" spans="23:41" ht="15.75" x14ac:dyDescent="0.25">
      <c r="W65" s="28">
        <f>IF(W10&gt;0, (W$30*VALORI!$B$4)+(W$31*VALORI!$B$4)+(W$32*VALORI!$B$3)+(W$33*VALORI!$B$5),0)</f>
        <v>1240</v>
      </c>
      <c r="X65" s="28">
        <f>IF(X10&gt;0, (X$30*VALORI!$B$4)+(X$31*VALORI!$B$4)+(X$32*VALORI!$B$3)+(X$33*VALORI!$B$5),0)</f>
        <v>3720</v>
      </c>
      <c r="Y65" s="28">
        <f>IF(Y10&gt;0, (Y$30*VALORI!$B$4)+(Y$31*VALORI!$B$4)+(Y$32*VALORI!$B$3)+(Y$33*VALORI!$B$5),0)</f>
        <v>992</v>
      </c>
      <c r="Z65" s="28">
        <f>IF(Z10&gt;0, (Z$30*VALORI!$B$4)+(Z$31*VALORI!$B$4)+(Z$32*VALORI!$B$3)+(Z$33*VALORI!$B$5),0)</f>
        <v>992</v>
      </c>
      <c r="AA65" s="28">
        <f>IF(AA10&gt;0, (AA$30*VALORI!$B$4)+(AA$31*VALORI!$B$4)+(AA$32*VALORI!$B$3)+(AA$33*VALORI!$B$5),0)</f>
        <v>876</v>
      </c>
      <c r="AB65" s="28">
        <f>IF(AB10&gt;0, (AB$30*VALORI!$B$4)+(AB$31*VALORI!$B$4)+(AB$32*VALORI!$B$3)+(AB$33*VALORI!$B$5),0)</f>
        <v>103</v>
      </c>
      <c r="AC65" s="28">
        <f>IF(AC10&gt;0, (AC$30*VALORI!$B$4)+(AC$31*VALORI!$B$4)+(AC$32*VALORI!$B$3)+(AC$33*VALORI!$B$5),0)</f>
        <v>794</v>
      </c>
      <c r="AD65" s="28">
        <f>IF(AD10&gt;0, (AD$30*VALORI!$B$4)+(AD$31*VALORI!$B$4)+(AD$32*VALORI!$B$3)+(AD$33*VALORI!$B$5),0)</f>
        <v>2354</v>
      </c>
      <c r="AE65" s="28">
        <f>IF(AE10&gt;0, (AE$30*VALORI!$B$4)+(AE$31*VALORI!$B$4)+(AE$32*VALORI!$B$3)+(AE$33*VALORI!$B$5),0)</f>
        <v>1268</v>
      </c>
      <c r="AF65" s="28">
        <f>IF(AF10&gt;0, (AF$30*VALORI!$B$4)+(AF$31*VALORI!$B$4)+(AF$32*VALORI!$B$3)+(AF$33*VALORI!$B$5),0)</f>
        <v>1123</v>
      </c>
      <c r="AG65" s="28">
        <f>IF(AG10&gt;0, (AG$30*VALORI!$B$4)+(AG$31*VALORI!$B$4)+(AG$32*VALORI!$B$3)+(AG$33*VALORI!$B$5),0)</f>
        <v>1123</v>
      </c>
      <c r="AH65" s="28">
        <f>IF(AH10&gt;0, (AH$30*VALORI!$B$4)+(AH$31*VALORI!$B$4)+(AH$32*VALORI!$B$3)+(AH$33*VALORI!$B$5),0)</f>
        <v>148</v>
      </c>
      <c r="AI65" s="28">
        <f>IF(AI10&gt;0, (AI$30*VALORI!$B$4)+(AI$31*VALORI!$B$4)+(AI$32*VALORI!$B$3)+(AI$33*VALORI!$B$5),0)</f>
        <v>1600</v>
      </c>
      <c r="AJ65" s="28">
        <f>IF(AJ10&gt;0, (AJ$30*VALORI!$B$4)+(AJ$31*VALORI!$B$4)+(AJ$32*VALORI!$B$3)+(AJ$33*VALORI!$B$5),0)</f>
        <v>0</v>
      </c>
      <c r="AK65" s="28">
        <f>IF(AK10&gt;0, (AK$30*VALORI!$B$4)+(AK$31*VALORI!$B$4)+(AK$32*VALORI!$B$3)+(AK$33*VALORI!$B$5),0)</f>
        <v>0</v>
      </c>
      <c r="AL65" s="28">
        <f>IF(AL10&gt;0, (AL$30*VALORI!$B$4)+(AL$31*VALORI!$B$4)+(AL$32*VALORI!$B$3)+(AL$33*VALORI!$B$5),0)</f>
        <v>0</v>
      </c>
      <c r="AM65" s="28">
        <f>IF(AM10&gt;0, (AM$30*VALORI!$B$4)+(AM$31*VALORI!$B$4)+(AM$32*VALORI!$B$3)+(AM$33*VALORI!$B$5),0)</f>
        <v>642</v>
      </c>
      <c r="AN65" s="28">
        <f>IF(AN10&gt;0, (AN$30*VALORI!$B$4)+(AN$31*VALORI!$B$4)+(AN$32*VALORI!$B$3)+(AN$33*VALORI!$B$5),0)</f>
        <v>0</v>
      </c>
      <c r="AO65" s="28">
        <f>IF(AO10&gt;0, (AO$30*VALORI!$B$4)+(AO$31*VALORI!$B$4)+(AO$32*VALORI!$B$3)+(AO$33*VALORI!$B$5),0)</f>
        <v>1484</v>
      </c>
    </row>
    <row r="66" spans="23:41" ht="15.75" x14ac:dyDescent="0.25">
      <c r="W66" s="28">
        <f>IF(W11&gt;0, (W$30*VALORI!$B$4)+(W$31*VALORI!$B$4)+(W$32*VALORI!$B$3)+(W$33*VALORI!$B$5),0)</f>
        <v>1240</v>
      </c>
      <c r="X66" s="28">
        <f>IF(X11&gt;0, (X$30*VALORI!$B$4)+(X$31*VALORI!$B$4)+(X$32*VALORI!$B$3)+(X$33*VALORI!$B$5),0)</f>
        <v>3720</v>
      </c>
      <c r="Y66" s="28">
        <f>IF(Y11&gt;0, (Y$30*VALORI!$B$4)+(Y$31*VALORI!$B$4)+(Y$32*VALORI!$B$3)+(Y$33*VALORI!$B$5),0)</f>
        <v>992</v>
      </c>
      <c r="Z66" s="28">
        <f>IF(Z11&gt;0, (Z$30*VALORI!$B$4)+(Z$31*VALORI!$B$4)+(Z$32*VALORI!$B$3)+(Z$33*VALORI!$B$5),0)</f>
        <v>992</v>
      </c>
      <c r="AA66" s="28">
        <f>IF(AA11&gt;0, (AA$30*VALORI!$B$4)+(AA$31*VALORI!$B$4)+(AA$32*VALORI!$B$3)+(AA$33*VALORI!$B$5),0)</f>
        <v>876</v>
      </c>
      <c r="AB66" s="28">
        <f>IF(AB11&gt;0, (AB$30*VALORI!$B$4)+(AB$31*VALORI!$B$4)+(AB$32*VALORI!$B$3)+(AB$33*VALORI!$B$5),0)</f>
        <v>103</v>
      </c>
      <c r="AC66" s="28">
        <f>IF(AC11&gt;0, (AC$30*VALORI!$B$4)+(AC$31*VALORI!$B$4)+(AC$32*VALORI!$B$3)+(AC$33*VALORI!$B$5),0)</f>
        <v>794</v>
      </c>
      <c r="AD66" s="28">
        <f>IF(AD11&gt;0, (AD$30*VALORI!$B$4)+(AD$31*VALORI!$B$4)+(AD$32*VALORI!$B$3)+(AD$33*VALORI!$B$5),0)</f>
        <v>2354</v>
      </c>
      <c r="AE66" s="28">
        <f>IF(AE11&gt;0, (AE$30*VALORI!$B$4)+(AE$31*VALORI!$B$4)+(AE$32*VALORI!$B$3)+(AE$33*VALORI!$B$5),0)</f>
        <v>1268</v>
      </c>
      <c r="AF66" s="28">
        <f>IF(AF11&gt;0, (AF$30*VALORI!$B$4)+(AF$31*VALORI!$B$4)+(AF$32*VALORI!$B$3)+(AF$33*VALORI!$B$5),0)</f>
        <v>1123</v>
      </c>
      <c r="AG66" s="28">
        <f>IF(AG11&gt;0, (AG$30*VALORI!$B$4)+(AG$31*VALORI!$B$4)+(AG$32*VALORI!$B$3)+(AG$33*VALORI!$B$5),0)</f>
        <v>1123</v>
      </c>
      <c r="AH66" s="28">
        <f>IF(AH11&gt;0, (AH$30*VALORI!$B$4)+(AH$31*VALORI!$B$4)+(AH$32*VALORI!$B$3)+(AH$33*VALORI!$B$5),0)</f>
        <v>148</v>
      </c>
      <c r="AI66" s="28">
        <f>IF(AI11&gt;0, (AI$30*VALORI!$B$4)+(AI$31*VALORI!$B$4)+(AI$32*VALORI!$B$3)+(AI$33*VALORI!$B$5),0)</f>
        <v>1600</v>
      </c>
      <c r="AJ66" s="28">
        <f>IF(AJ11&gt;0, (AJ$30*VALORI!$B$4)+(AJ$31*VALORI!$B$4)+(AJ$32*VALORI!$B$3)+(AJ$33*VALORI!$B$5),0)</f>
        <v>0</v>
      </c>
      <c r="AK66" s="28">
        <f>IF(AK11&gt;0, (AK$30*VALORI!$B$4)+(AK$31*VALORI!$B$4)+(AK$32*VALORI!$B$3)+(AK$33*VALORI!$B$5),0)</f>
        <v>0</v>
      </c>
      <c r="AL66" s="28">
        <f>IF(AL11&gt;0, (AL$30*VALORI!$B$4)+(AL$31*VALORI!$B$4)+(AL$32*VALORI!$B$3)+(AL$33*VALORI!$B$5),0)</f>
        <v>0</v>
      </c>
      <c r="AM66" s="28">
        <f>IF(AM11&gt;0, (AM$30*VALORI!$B$4)+(AM$31*VALORI!$B$4)+(AM$32*VALORI!$B$3)+(AM$33*VALORI!$B$5),0)</f>
        <v>642</v>
      </c>
      <c r="AN66" s="28">
        <f>IF(AN11&gt;0, (AN$30*VALORI!$B$4)+(AN$31*VALORI!$B$4)+(AN$32*VALORI!$B$3)+(AN$33*VALORI!$B$5),0)</f>
        <v>0</v>
      </c>
      <c r="AO66" s="28">
        <f>IF(AO11&gt;0, (AO$30*VALORI!$B$4)+(AO$31*VALORI!$B$4)+(AO$32*VALORI!$B$3)+(AO$33*VALORI!$B$5),0)</f>
        <v>1484</v>
      </c>
    </row>
    <row r="67" spans="23:41" ht="15.75" x14ac:dyDescent="0.25">
      <c r="W67" s="28">
        <f>IF(W12&gt;0, (W$30*VALORI!$B$4)+(W$31*VALORI!$B$4)+(W$32*VALORI!$B$3)+(W$33*VALORI!$B$5),0)</f>
        <v>1240</v>
      </c>
      <c r="X67" s="28">
        <f>IF(X12&gt;0, (X$30*VALORI!$B$4)+(X$31*VALORI!$B$4)+(X$32*VALORI!$B$3)+(X$33*VALORI!$B$5),0)</f>
        <v>3720</v>
      </c>
      <c r="Y67" s="28">
        <f>IF(Y12&gt;0, (Y$30*VALORI!$B$4)+(Y$31*VALORI!$B$4)+(Y$32*VALORI!$B$3)+(Y$33*VALORI!$B$5),0)</f>
        <v>992</v>
      </c>
      <c r="Z67" s="28">
        <f>IF(Z12&gt;0, (Z$30*VALORI!$B$4)+(Z$31*VALORI!$B$4)+(Z$32*VALORI!$B$3)+(Z$33*VALORI!$B$5),0)</f>
        <v>992</v>
      </c>
      <c r="AA67" s="28">
        <f>IF(AA12&gt;0, (AA$30*VALORI!$B$4)+(AA$31*VALORI!$B$4)+(AA$32*VALORI!$B$3)+(AA$33*VALORI!$B$5),0)</f>
        <v>876</v>
      </c>
      <c r="AB67" s="28">
        <f>IF(AB12&gt;0, (AB$30*VALORI!$B$4)+(AB$31*VALORI!$B$4)+(AB$32*VALORI!$B$3)+(AB$33*VALORI!$B$5),0)</f>
        <v>103</v>
      </c>
      <c r="AC67" s="28">
        <f>IF(AC12&gt;0, (AC$30*VALORI!$B$4)+(AC$31*VALORI!$B$4)+(AC$32*VALORI!$B$3)+(AC$33*VALORI!$B$5),0)</f>
        <v>794</v>
      </c>
      <c r="AD67" s="28">
        <f>IF(AD12&gt;0, (AD$30*VALORI!$B$4)+(AD$31*VALORI!$B$4)+(AD$32*VALORI!$B$3)+(AD$33*VALORI!$B$5),0)</f>
        <v>2354</v>
      </c>
      <c r="AE67" s="28">
        <f>IF(AE12&gt;0, (AE$30*VALORI!$B$4)+(AE$31*VALORI!$B$4)+(AE$32*VALORI!$B$3)+(AE$33*VALORI!$B$5),0)</f>
        <v>1268</v>
      </c>
      <c r="AF67" s="28">
        <f>IF(AF12&gt;0, (AF$30*VALORI!$B$4)+(AF$31*VALORI!$B$4)+(AF$32*VALORI!$B$3)+(AF$33*VALORI!$B$5),0)</f>
        <v>1123</v>
      </c>
      <c r="AG67" s="28">
        <f>IF(AG12&gt;0, (AG$30*VALORI!$B$4)+(AG$31*VALORI!$B$4)+(AG$32*VALORI!$B$3)+(AG$33*VALORI!$B$5),0)</f>
        <v>1123</v>
      </c>
      <c r="AH67" s="28">
        <f>IF(AH12&gt;0, (AH$30*VALORI!$B$4)+(AH$31*VALORI!$B$4)+(AH$32*VALORI!$B$3)+(AH$33*VALORI!$B$5),0)</f>
        <v>148</v>
      </c>
      <c r="AI67" s="28">
        <f>IF(AI12&gt;0, (AI$30*VALORI!$B$4)+(AI$31*VALORI!$B$4)+(AI$32*VALORI!$B$3)+(AI$33*VALORI!$B$5),0)</f>
        <v>1600</v>
      </c>
      <c r="AJ67" s="28">
        <f>IF(AJ12&gt;0, (AJ$30*VALORI!$B$4)+(AJ$31*VALORI!$B$4)+(AJ$32*VALORI!$B$3)+(AJ$33*VALORI!$B$5),0)</f>
        <v>0</v>
      </c>
      <c r="AK67" s="28">
        <f>IF(AK12&gt;0, (AK$30*VALORI!$B$4)+(AK$31*VALORI!$B$4)+(AK$32*VALORI!$B$3)+(AK$33*VALORI!$B$5),0)</f>
        <v>0</v>
      </c>
      <c r="AL67" s="28">
        <f>IF(AL12&gt;0, (AL$30*VALORI!$B$4)+(AL$31*VALORI!$B$4)+(AL$32*VALORI!$B$3)+(AL$33*VALORI!$B$5),0)</f>
        <v>0</v>
      </c>
      <c r="AM67" s="28">
        <f>IF(AM12&gt;0, (AM$30*VALORI!$B$4)+(AM$31*VALORI!$B$4)+(AM$32*VALORI!$B$3)+(AM$33*VALORI!$B$5),0)</f>
        <v>642</v>
      </c>
      <c r="AN67" s="28">
        <f>IF(AN12&gt;0, (AN$30*VALORI!$B$4)+(AN$31*VALORI!$B$4)+(AN$32*VALORI!$B$3)+(AN$33*VALORI!$B$5),0)</f>
        <v>0</v>
      </c>
      <c r="AO67" s="28">
        <f>IF(AO12&gt;0, (AO$30*VALORI!$B$4)+(AO$31*VALORI!$B$4)+(AO$32*VALORI!$B$3)+(AO$33*VALORI!$B$5),0)</f>
        <v>1484</v>
      </c>
    </row>
    <row r="68" spans="23:41" ht="15.75" x14ac:dyDescent="0.25">
      <c r="W68" s="28">
        <f>IF(W13&gt;0, (W$30*VALORI!$B$4)+(W$31*VALORI!$B$4)+(W$32*VALORI!$B$3)+(W$33*VALORI!$B$5),0)</f>
        <v>1240</v>
      </c>
      <c r="X68" s="28">
        <f>IF(X13&gt;0, (X$30*VALORI!$B$4)+(X$31*VALORI!$B$4)+(X$32*VALORI!$B$3)+(X$33*VALORI!$B$5),0)</f>
        <v>3720</v>
      </c>
      <c r="Y68" s="28">
        <f>IF(Y13&gt;0, (Y$30*VALORI!$B$4)+(Y$31*VALORI!$B$4)+(Y$32*VALORI!$B$3)+(Y$33*VALORI!$B$5),0)</f>
        <v>992</v>
      </c>
      <c r="Z68" s="28">
        <f>IF(Z13&gt;0, (Z$30*VALORI!$B$4)+(Z$31*VALORI!$B$4)+(Z$32*VALORI!$B$3)+(Z$33*VALORI!$B$5),0)</f>
        <v>992</v>
      </c>
      <c r="AA68" s="28">
        <f>IF(AA13&gt;0, (AA$30*VALORI!$B$4)+(AA$31*VALORI!$B$4)+(AA$32*VALORI!$B$3)+(AA$33*VALORI!$B$5),0)</f>
        <v>876</v>
      </c>
      <c r="AB68" s="28">
        <f>IF(AB13&gt;0, (AB$30*VALORI!$B$4)+(AB$31*VALORI!$B$4)+(AB$32*VALORI!$B$3)+(AB$33*VALORI!$B$5),0)</f>
        <v>103</v>
      </c>
      <c r="AC68" s="28">
        <f>IF(AC13&gt;0, (AC$30*VALORI!$B$4)+(AC$31*VALORI!$B$4)+(AC$32*VALORI!$B$3)+(AC$33*VALORI!$B$5),0)</f>
        <v>794</v>
      </c>
      <c r="AD68" s="28">
        <f>IF(AD13&gt;0, (AD$30*VALORI!$B$4)+(AD$31*VALORI!$B$4)+(AD$32*VALORI!$B$3)+(AD$33*VALORI!$B$5),0)</f>
        <v>2354</v>
      </c>
      <c r="AE68" s="28">
        <f>IF(AE13&gt;0, (AE$30*VALORI!$B$4)+(AE$31*VALORI!$B$4)+(AE$32*VALORI!$B$3)+(AE$33*VALORI!$B$5),0)</f>
        <v>1268</v>
      </c>
      <c r="AF68" s="28">
        <f>IF(AF13&gt;0, (AF$30*VALORI!$B$4)+(AF$31*VALORI!$B$4)+(AF$32*VALORI!$B$3)+(AF$33*VALORI!$B$5),0)</f>
        <v>1123</v>
      </c>
      <c r="AG68" s="28">
        <f>IF(AG13&gt;0, (AG$30*VALORI!$B$4)+(AG$31*VALORI!$B$4)+(AG$32*VALORI!$B$3)+(AG$33*VALORI!$B$5),0)</f>
        <v>1123</v>
      </c>
      <c r="AH68" s="28">
        <f>IF(AH13&gt;0, (AH$30*VALORI!$B$4)+(AH$31*VALORI!$B$4)+(AH$32*VALORI!$B$3)+(AH$33*VALORI!$B$5),0)</f>
        <v>148</v>
      </c>
      <c r="AI68" s="28">
        <f>IF(AI13&gt;0, (AI$30*VALORI!$B$4)+(AI$31*VALORI!$B$4)+(AI$32*VALORI!$B$3)+(AI$33*VALORI!$B$5),0)</f>
        <v>1600</v>
      </c>
      <c r="AJ68" s="28">
        <f>IF(AJ13&gt;0, (AJ$30*VALORI!$B$4)+(AJ$31*VALORI!$B$4)+(AJ$32*VALORI!$B$3)+(AJ$33*VALORI!$B$5),0)</f>
        <v>0</v>
      </c>
      <c r="AK68" s="28">
        <f>IF(AK13&gt;0, (AK$30*VALORI!$B$4)+(AK$31*VALORI!$B$4)+(AK$32*VALORI!$B$3)+(AK$33*VALORI!$B$5),0)</f>
        <v>0</v>
      </c>
      <c r="AL68" s="28">
        <f>IF(AL13&gt;0, (AL$30*VALORI!$B$4)+(AL$31*VALORI!$B$4)+(AL$32*VALORI!$B$3)+(AL$33*VALORI!$B$5),0)</f>
        <v>0</v>
      </c>
      <c r="AM68" s="28">
        <f>IF(AM13&gt;0, (AM$30*VALORI!$B$4)+(AM$31*VALORI!$B$4)+(AM$32*VALORI!$B$3)+(AM$33*VALORI!$B$5),0)</f>
        <v>642</v>
      </c>
      <c r="AN68" s="28">
        <f>IF(AN13&gt;0, (AN$30*VALORI!$B$4)+(AN$31*VALORI!$B$4)+(AN$32*VALORI!$B$3)+(AN$33*VALORI!$B$5),0)</f>
        <v>0</v>
      </c>
      <c r="AO68" s="28">
        <f>IF(AO13&gt;0, (AO$30*VALORI!$B$4)+(AO$31*VALORI!$B$4)+(AO$32*VALORI!$B$3)+(AO$33*VALORI!$B$5),0)</f>
        <v>1484</v>
      </c>
    </row>
    <row r="69" spans="23:41" ht="15.75" x14ac:dyDescent="0.25">
      <c r="W69" s="28">
        <f>IF(W14&gt;0, (W$30*VALORI!$B$4)+(W$31*VALORI!$B$4)+(W$32*VALORI!$B$3)+(W$33*VALORI!$B$5),0)</f>
        <v>1240</v>
      </c>
      <c r="X69" s="28">
        <f>IF(X14&gt;0, (X$30*VALORI!$B$4)+(X$31*VALORI!$B$4)+(X$32*VALORI!$B$3)+(X$33*VALORI!$B$5),0)</f>
        <v>3720</v>
      </c>
      <c r="Y69" s="28">
        <f>IF(Y14&gt;0, (Y$30*VALORI!$B$4)+(Y$31*VALORI!$B$4)+(Y$32*VALORI!$B$3)+(Y$33*VALORI!$B$5),0)</f>
        <v>992</v>
      </c>
      <c r="Z69" s="28">
        <f>IF(Z14&gt;0, (Z$30*VALORI!$B$4)+(Z$31*VALORI!$B$4)+(Z$32*VALORI!$B$3)+(Z$33*VALORI!$B$5),0)</f>
        <v>992</v>
      </c>
      <c r="AA69" s="28">
        <f>IF(AA14&gt;0, (AA$30*VALORI!$B$4)+(AA$31*VALORI!$B$4)+(AA$32*VALORI!$B$3)+(AA$33*VALORI!$B$5),0)</f>
        <v>876</v>
      </c>
      <c r="AB69" s="28">
        <f>IF(AB14&gt;0, (AB$30*VALORI!$B$4)+(AB$31*VALORI!$B$4)+(AB$32*VALORI!$B$3)+(AB$33*VALORI!$B$5),0)</f>
        <v>103</v>
      </c>
      <c r="AC69" s="28">
        <f>IF(AC14&gt;0, (AC$30*VALORI!$B$4)+(AC$31*VALORI!$B$4)+(AC$32*VALORI!$B$3)+(AC$33*VALORI!$B$5),0)</f>
        <v>794</v>
      </c>
      <c r="AD69" s="28">
        <f>IF(AD14&gt;0, (AD$30*VALORI!$B$4)+(AD$31*VALORI!$B$4)+(AD$32*VALORI!$B$3)+(AD$33*VALORI!$B$5),0)</f>
        <v>2354</v>
      </c>
      <c r="AE69" s="28">
        <f>IF(AE14&gt;0, (AE$30*VALORI!$B$4)+(AE$31*VALORI!$B$4)+(AE$32*VALORI!$B$3)+(AE$33*VALORI!$B$5),0)</f>
        <v>1268</v>
      </c>
      <c r="AF69" s="28">
        <f>IF(AF14&gt;0, (AF$30*VALORI!$B$4)+(AF$31*VALORI!$B$4)+(AF$32*VALORI!$B$3)+(AF$33*VALORI!$B$5),0)</f>
        <v>1123</v>
      </c>
      <c r="AG69" s="28">
        <f>IF(AG14&gt;0, (AG$30*VALORI!$B$4)+(AG$31*VALORI!$B$4)+(AG$32*VALORI!$B$3)+(AG$33*VALORI!$B$5),0)</f>
        <v>1123</v>
      </c>
      <c r="AH69" s="28">
        <f>IF(AH14&gt;0, (AH$30*VALORI!$B$4)+(AH$31*VALORI!$B$4)+(AH$32*VALORI!$B$3)+(AH$33*VALORI!$B$5),0)</f>
        <v>148</v>
      </c>
      <c r="AI69" s="28">
        <f>IF(AI14&gt;0, (AI$30*VALORI!$B$4)+(AI$31*VALORI!$B$4)+(AI$32*VALORI!$B$3)+(AI$33*VALORI!$B$5),0)</f>
        <v>1600</v>
      </c>
      <c r="AJ69" s="28">
        <f>IF(AJ14&gt;0, (AJ$30*VALORI!$B$4)+(AJ$31*VALORI!$B$4)+(AJ$32*VALORI!$B$3)+(AJ$33*VALORI!$B$5),0)</f>
        <v>0</v>
      </c>
      <c r="AK69" s="28">
        <f>IF(AK14&gt;0, (AK$30*VALORI!$B$4)+(AK$31*VALORI!$B$4)+(AK$32*VALORI!$B$3)+(AK$33*VALORI!$B$5),0)</f>
        <v>0</v>
      </c>
      <c r="AL69" s="28">
        <f>IF(AL14&gt;0, (AL$30*VALORI!$B$4)+(AL$31*VALORI!$B$4)+(AL$32*VALORI!$B$3)+(AL$33*VALORI!$B$5),0)</f>
        <v>0</v>
      </c>
      <c r="AM69" s="28">
        <f>IF(AM14&gt;0, (AM$30*VALORI!$B$4)+(AM$31*VALORI!$B$4)+(AM$32*VALORI!$B$3)+(AM$33*VALORI!$B$5),0)</f>
        <v>642</v>
      </c>
      <c r="AN69" s="28">
        <f>IF(AN14&gt;0, (AN$30*VALORI!$B$4)+(AN$31*VALORI!$B$4)+(AN$32*VALORI!$B$3)+(AN$33*VALORI!$B$5),0)</f>
        <v>0</v>
      </c>
      <c r="AO69" s="28">
        <f>IF(AO14&gt;0, (AO$30*VALORI!$B$4)+(AO$31*VALORI!$B$4)+(AO$32*VALORI!$B$3)+(AO$33*VALORI!$B$5),0)</f>
        <v>1484</v>
      </c>
    </row>
    <row r="70" spans="23:41" ht="15.75" x14ac:dyDescent="0.25">
      <c r="W70" s="28">
        <f>IF(W15&gt;0, (W$30*VALORI!$B$4)+(W$31*VALORI!$B$4)+(W$32*VALORI!$B$3)+(W$33*VALORI!$B$5),0)</f>
        <v>1240</v>
      </c>
      <c r="X70" s="28">
        <f>IF(X15&gt;0, (X$30*VALORI!$B$4)+(X$31*VALORI!$B$4)+(X$32*VALORI!$B$3)+(X$33*VALORI!$B$5),0)</f>
        <v>3720</v>
      </c>
      <c r="Y70" s="28">
        <f>IF(Y15&gt;0, (Y$30*VALORI!$B$4)+(Y$31*VALORI!$B$4)+(Y$32*VALORI!$B$3)+(Y$33*VALORI!$B$5),0)</f>
        <v>992</v>
      </c>
      <c r="Z70" s="28">
        <f>IF(Z15&gt;0, (Z$30*VALORI!$B$4)+(Z$31*VALORI!$B$4)+(Z$32*VALORI!$B$3)+(Z$33*VALORI!$B$5),0)</f>
        <v>992</v>
      </c>
      <c r="AA70" s="28">
        <f>IF(AA15&gt;0, (AA$30*VALORI!$B$4)+(AA$31*VALORI!$B$4)+(AA$32*VALORI!$B$3)+(AA$33*VALORI!$B$5),0)</f>
        <v>876</v>
      </c>
      <c r="AB70" s="28">
        <f>IF(AB15&gt;0, (AB$30*VALORI!$B$4)+(AB$31*VALORI!$B$4)+(AB$32*VALORI!$B$3)+(AB$33*VALORI!$B$5),0)</f>
        <v>103</v>
      </c>
      <c r="AC70" s="28">
        <f>IF(AC15&gt;0, (AC$30*VALORI!$B$4)+(AC$31*VALORI!$B$4)+(AC$32*VALORI!$B$3)+(AC$33*VALORI!$B$5),0)</f>
        <v>794</v>
      </c>
      <c r="AD70" s="28">
        <f>IF(AD15&gt;0, (AD$30*VALORI!$B$4)+(AD$31*VALORI!$B$4)+(AD$32*VALORI!$B$3)+(AD$33*VALORI!$B$5),0)</f>
        <v>2354</v>
      </c>
      <c r="AE70" s="28">
        <f>IF(AE15&gt;0, (AE$30*VALORI!$B$4)+(AE$31*VALORI!$B$4)+(AE$32*VALORI!$B$3)+(AE$33*VALORI!$B$5),0)</f>
        <v>1268</v>
      </c>
      <c r="AF70" s="28">
        <f>IF(AF15&gt;0, (AF$30*VALORI!$B$4)+(AF$31*VALORI!$B$4)+(AF$32*VALORI!$B$3)+(AF$33*VALORI!$B$5),0)</f>
        <v>1123</v>
      </c>
      <c r="AG70" s="28">
        <f>IF(AG15&gt;0, (AG$30*VALORI!$B$4)+(AG$31*VALORI!$B$4)+(AG$32*VALORI!$B$3)+(AG$33*VALORI!$B$5),0)</f>
        <v>1123</v>
      </c>
      <c r="AH70" s="28">
        <f>IF(AH15&gt;0, (AH$30*VALORI!$B$4)+(AH$31*VALORI!$B$4)+(AH$32*VALORI!$B$3)+(AH$33*VALORI!$B$5),0)</f>
        <v>148</v>
      </c>
      <c r="AI70" s="28">
        <f>IF(AI15&gt;0, (AI$30*VALORI!$B$4)+(AI$31*VALORI!$B$4)+(AI$32*VALORI!$B$3)+(AI$33*VALORI!$B$5),0)</f>
        <v>1600</v>
      </c>
      <c r="AJ70" s="28">
        <f>IF(AJ15&gt;0, (AJ$30*VALORI!$B$4)+(AJ$31*VALORI!$B$4)+(AJ$32*VALORI!$B$3)+(AJ$33*VALORI!$B$5),0)</f>
        <v>0</v>
      </c>
      <c r="AK70" s="28">
        <f>IF(AK15&gt;0, (AK$30*VALORI!$B$4)+(AK$31*VALORI!$B$4)+(AK$32*VALORI!$B$3)+(AK$33*VALORI!$B$5),0)</f>
        <v>0</v>
      </c>
      <c r="AL70" s="28">
        <f>IF(AL15&gt;0, (AL$30*VALORI!$B$4)+(AL$31*VALORI!$B$4)+(AL$32*VALORI!$B$3)+(AL$33*VALORI!$B$5),0)</f>
        <v>0</v>
      </c>
      <c r="AM70" s="28">
        <f>IF(AM15&gt;0, (AM$30*VALORI!$B$4)+(AM$31*VALORI!$B$4)+(AM$32*VALORI!$B$3)+(AM$33*VALORI!$B$5),0)</f>
        <v>642</v>
      </c>
      <c r="AN70" s="28">
        <f>IF(AN15&gt;0, (AN$30*VALORI!$B$4)+(AN$31*VALORI!$B$4)+(AN$32*VALORI!$B$3)+(AN$33*VALORI!$B$5),0)</f>
        <v>0</v>
      </c>
      <c r="AO70" s="28">
        <f>IF(AO15&gt;0, (AO$30*VALORI!$B$4)+(AO$31*VALORI!$B$4)+(AO$32*VALORI!$B$3)+(AO$33*VALORI!$B$5),0)</f>
        <v>1484</v>
      </c>
    </row>
    <row r="71" spans="23:41" ht="15.75" x14ac:dyDescent="0.25">
      <c r="W71" s="28">
        <f>IF(W16&gt;0, (W$30*VALORI!$B$4)+(W$31*VALORI!$B$4)+(W$32*VALORI!$B$3)+(W$33*VALORI!$B$5),0)</f>
        <v>0</v>
      </c>
      <c r="X71" s="28">
        <f>IF(X16&gt;0, (X$30*VALORI!$B$4)+(X$31*VALORI!$B$4)+(X$32*VALORI!$B$3)+(X$33*VALORI!$B$5),0)</f>
        <v>0</v>
      </c>
      <c r="Y71" s="28">
        <f>IF(Y16&gt;0, (Y$30*VALORI!$B$4)+(Y$31*VALORI!$B$4)+(Y$32*VALORI!$B$3)+(Y$33*VALORI!$B$5),0)</f>
        <v>0</v>
      </c>
      <c r="Z71" s="28">
        <f>IF(Z16&gt;0, (Z$30*VALORI!$B$4)+(Z$31*VALORI!$B$4)+(Z$32*VALORI!$B$3)+(Z$33*VALORI!$B$5),0)</f>
        <v>0</v>
      </c>
      <c r="AA71" s="28">
        <f>IF(AA16&gt;0, (AA$30*VALORI!$B$4)+(AA$31*VALORI!$B$4)+(AA$32*VALORI!$B$3)+(AA$33*VALORI!$B$5),0)</f>
        <v>0</v>
      </c>
      <c r="AB71" s="28">
        <f>IF(AB16&gt;0, (AB$30*VALORI!$B$4)+(AB$31*VALORI!$B$4)+(AB$32*VALORI!$B$3)+(AB$33*VALORI!$B$5),0)</f>
        <v>0</v>
      </c>
      <c r="AC71" s="28">
        <f>IF(AC16&gt;0, (AC$30*VALORI!$B$4)+(AC$31*VALORI!$B$4)+(AC$32*VALORI!$B$3)+(AC$33*VALORI!$B$5),0)</f>
        <v>0</v>
      </c>
      <c r="AD71" s="28">
        <f>IF(AD16&gt;0, (AD$30*VALORI!$B$4)+(AD$31*VALORI!$B$4)+(AD$32*VALORI!$B$3)+(AD$33*VALORI!$B$5),0)</f>
        <v>0</v>
      </c>
      <c r="AE71" s="28">
        <f>IF(AE16&gt;0, (AE$30*VALORI!$B$4)+(AE$31*VALORI!$B$4)+(AE$32*VALORI!$B$3)+(AE$33*VALORI!$B$5),0)</f>
        <v>0</v>
      </c>
      <c r="AF71" s="28">
        <f>IF(AF16&gt;0, (AF$30*VALORI!$B$4)+(AF$31*VALORI!$B$4)+(AF$32*VALORI!$B$3)+(AF$33*VALORI!$B$5),0)</f>
        <v>0</v>
      </c>
      <c r="AG71" s="28">
        <f>IF(AG16&gt;0, (AG$30*VALORI!$B$4)+(AG$31*VALORI!$B$4)+(AG$32*VALORI!$B$3)+(AG$33*VALORI!$B$5),0)</f>
        <v>0</v>
      </c>
      <c r="AH71" s="28">
        <f>IF(AH16&gt;0, (AH$30*VALORI!$B$4)+(AH$31*VALORI!$B$4)+(AH$32*VALORI!$B$3)+(AH$33*VALORI!$B$5),0)</f>
        <v>0</v>
      </c>
      <c r="AI71" s="28">
        <f>IF(AI16&gt;0, (AI$30*VALORI!$B$4)+(AI$31*VALORI!$B$4)+(AI$32*VALORI!$B$3)+(AI$33*VALORI!$B$5),0)</f>
        <v>0</v>
      </c>
      <c r="AJ71" s="28">
        <f>IF(AJ16&gt;0, (AJ$30*VALORI!$B$4)+(AJ$31*VALORI!$B$4)+(AJ$32*VALORI!$B$3)+(AJ$33*VALORI!$B$5),0)</f>
        <v>0</v>
      </c>
      <c r="AK71" s="28">
        <f>IF(AK16&gt;0, (AK$30*VALORI!$B$4)+(AK$31*VALORI!$B$4)+(AK$32*VALORI!$B$3)+(AK$33*VALORI!$B$5),0)</f>
        <v>0</v>
      </c>
      <c r="AL71" s="28">
        <f>IF(AL16&gt;0, (AL$30*VALORI!$B$4)+(AL$31*VALORI!$B$4)+(AL$32*VALORI!$B$3)+(AL$33*VALORI!$B$5),0)</f>
        <v>0</v>
      </c>
      <c r="AM71" s="28">
        <f>IF(AM16&gt;0, (AM$30*VALORI!$B$4)+(AM$31*VALORI!$B$4)+(AM$32*VALORI!$B$3)+(AM$33*VALORI!$B$5),0)</f>
        <v>0</v>
      </c>
      <c r="AN71" s="28">
        <f>IF(AN16&gt;0, (AN$30*VALORI!$B$4)+(AN$31*VALORI!$B$4)+(AN$32*VALORI!$B$3)+(AN$33*VALORI!$B$5),0)</f>
        <v>0</v>
      </c>
      <c r="AO71" s="28">
        <f>IF(AO16&gt;0, (AO$30*VALORI!$B$4)+(AO$31*VALORI!$B$4)+(AO$32*VALORI!$B$3)+(AO$33*VALORI!$B$5),0)</f>
        <v>0</v>
      </c>
    </row>
    <row r="72" spans="23:41" ht="15.75" x14ac:dyDescent="0.25">
      <c r="W72" s="28">
        <f>IF(W17&gt;0, (W$30*VALORI!$B$4)+(W$31*VALORI!$B$4)+(W$32*VALORI!$B$3)+(W$33*VALORI!$B$5),0)</f>
        <v>0</v>
      </c>
      <c r="X72" s="28">
        <f>IF(X17&gt;0, (X$30*VALORI!$B$4)+(X$31*VALORI!$B$4)+(X$32*VALORI!$B$3)+(X$33*VALORI!$B$5),0)</f>
        <v>0</v>
      </c>
      <c r="Y72" s="28">
        <f>IF(Y17&gt;0, (Y$30*VALORI!$B$4)+(Y$31*VALORI!$B$4)+(Y$32*VALORI!$B$3)+(Y$33*VALORI!$B$5),0)</f>
        <v>0</v>
      </c>
      <c r="Z72" s="28">
        <f>IF(Z17&gt;0, (Z$30*VALORI!$B$4)+(Z$31*VALORI!$B$4)+(Z$32*VALORI!$B$3)+(Z$33*VALORI!$B$5),0)</f>
        <v>0</v>
      </c>
      <c r="AA72" s="28">
        <f>IF(AA17&gt;0, (AA$30*VALORI!$B$4)+(AA$31*VALORI!$B$4)+(AA$32*VALORI!$B$3)+(AA$33*VALORI!$B$5),0)</f>
        <v>0</v>
      </c>
      <c r="AB72" s="28">
        <f>IF(AB17&gt;0, (AB$30*VALORI!$B$4)+(AB$31*VALORI!$B$4)+(AB$32*VALORI!$B$3)+(AB$33*VALORI!$B$5),0)</f>
        <v>0</v>
      </c>
      <c r="AC72" s="28">
        <f>IF(AC17&gt;0, (AC$30*VALORI!$B$4)+(AC$31*VALORI!$B$4)+(AC$32*VALORI!$B$3)+(AC$33*VALORI!$B$5),0)</f>
        <v>0</v>
      </c>
      <c r="AD72" s="28">
        <f>IF(AD17&gt;0, (AD$30*VALORI!$B$4)+(AD$31*VALORI!$B$4)+(AD$32*VALORI!$B$3)+(AD$33*VALORI!$B$5),0)</f>
        <v>0</v>
      </c>
      <c r="AE72" s="28">
        <f>IF(AE17&gt;0, (AE$30*VALORI!$B$4)+(AE$31*VALORI!$B$4)+(AE$32*VALORI!$B$3)+(AE$33*VALORI!$B$5),0)</f>
        <v>0</v>
      </c>
      <c r="AF72" s="28">
        <f>IF(AF17&gt;0, (AF$30*VALORI!$B$4)+(AF$31*VALORI!$B$4)+(AF$32*VALORI!$B$3)+(AF$33*VALORI!$B$5),0)</f>
        <v>0</v>
      </c>
      <c r="AG72" s="28">
        <f>IF(AG17&gt;0, (AG$30*VALORI!$B$4)+(AG$31*VALORI!$B$4)+(AG$32*VALORI!$B$3)+(AG$33*VALORI!$B$5),0)</f>
        <v>0</v>
      </c>
      <c r="AH72" s="28">
        <f>IF(AH17&gt;0, (AH$30*VALORI!$B$4)+(AH$31*VALORI!$B$4)+(AH$32*VALORI!$B$3)+(AH$33*VALORI!$B$5),0)</f>
        <v>0</v>
      </c>
      <c r="AI72" s="28">
        <f>IF(AI17&gt;0, (AI$30*VALORI!$B$4)+(AI$31*VALORI!$B$4)+(AI$32*VALORI!$B$3)+(AI$33*VALORI!$B$5),0)</f>
        <v>0</v>
      </c>
      <c r="AJ72" s="28">
        <f>IF(AJ17&gt;0, (AJ$30*VALORI!$B$4)+(AJ$31*VALORI!$B$4)+(AJ$32*VALORI!$B$3)+(AJ$33*VALORI!$B$5),0)</f>
        <v>0</v>
      </c>
      <c r="AK72" s="28">
        <f>IF(AK17&gt;0, (AK$30*VALORI!$B$4)+(AK$31*VALORI!$B$4)+(AK$32*VALORI!$B$3)+(AK$33*VALORI!$B$5),0)</f>
        <v>0</v>
      </c>
      <c r="AL72" s="28">
        <f>IF(AL17&gt;0, (AL$30*VALORI!$B$4)+(AL$31*VALORI!$B$4)+(AL$32*VALORI!$B$3)+(AL$33*VALORI!$B$5),0)</f>
        <v>0</v>
      </c>
      <c r="AM72" s="28">
        <f>IF(AM17&gt;0, (AM$30*VALORI!$B$4)+(AM$31*VALORI!$B$4)+(AM$32*VALORI!$B$3)+(AM$33*VALORI!$B$5),0)</f>
        <v>0</v>
      </c>
      <c r="AN72" s="28">
        <f>IF(AN17&gt;0, (AN$30*VALORI!$B$4)+(AN$31*VALORI!$B$4)+(AN$32*VALORI!$B$3)+(AN$33*VALORI!$B$5),0)</f>
        <v>0</v>
      </c>
      <c r="AO72" s="28">
        <f>IF(AO17&gt;0, (AO$30*VALORI!$B$4)+(AO$31*VALORI!$B$4)+(AO$32*VALORI!$B$3)+(AO$33*VALORI!$B$5),0)</f>
        <v>0</v>
      </c>
    </row>
    <row r="73" spans="23:41" ht="15.75" x14ac:dyDescent="0.25">
      <c r="W73" s="28">
        <f>IF(W27&gt;0, (W$30*VALORI!$B$4)+(W$31*VALORI!$B$4)+(W$32*VALORI!$B$3)+(W$33*VALORI!$B$5),0)</f>
        <v>0</v>
      </c>
      <c r="X73" s="28">
        <f>IF(X27&gt;0, (X$30*VALORI!$B$4)+(X$31*VALORI!$B$4)+(X$32*VALORI!$B$3)+(X$33*VALORI!$B$5),0)</f>
        <v>0</v>
      </c>
      <c r="Y73" s="28">
        <f>IF(Y27&gt;0, (Y$30*VALORI!$B$4)+(Y$31*VALORI!$B$4)+(Y$32*VALORI!$B$3)+(Y$33*VALORI!$B$5),0)</f>
        <v>0</v>
      </c>
      <c r="Z73" s="28">
        <f>IF(Z27&gt;0, (Z$30*VALORI!$B$4)+(Z$31*VALORI!$B$4)+(Z$32*VALORI!$B$3)+(Z$33*VALORI!$B$5),0)</f>
        <v>0</v>
      </c>
      <c r="AA73" s="28">
        <f>IF(AA27&gt;0, (AA$30*VALORI!$B$4)+(AA$31*VALORI!$B$4)+(AA$32*VALORI!$B$3)+(AA$33*VALORI!$B$5),0)</f>
        <v>0</v>
      </c>
      <c r="AB73" s="28">
        <f>IF(AB27&gt;0, (AB$30*VALORI!$B$4)+(AB$31*VALORI!$B$4)+(AB$32*VALORI!$B$3)+(AB$33*VALORI!$B$5),0)</f>
        <v>0</v>
      </c>
      <c r="AC73" s="28">
        <f>IF(AC27&gt;0, (AC$30*VALORI!$B$4)+(AC$31*VALORI!$B$4)+(AC$32*VALORI!$B$3)+(AC$33*VALORI!$B$5),0)</f>
        <v>0</v>
      </c>
      <c r="AD73" s="28">
        <f>IF(AD27&gt;0, (AD$30*VALORI!$B$4)+(AD$31*VALORI!$B$4)+(AD$32*VALORI!$B$3)+(AD$33*VALORI!$B$5),0)</f>
        <v>0</v>
      </c>
      <c r="AE73" s="28">
        <f>IF(AE27&gt;0, (AE$30*VALORI!$B$4)+(AE$31*VALORI!$B$4)+(AE$32*VALORI!$B$3)+(AE$33*VALORI!$B$5),0)</f>
        <v>0</v>
      </c>
      <c r="AF73" s="28">
        <f>IF(AF27&gt;0, (AF$30*VALORI!$B$4)+(AF$31*VALORI!$B$4)+(AF$32*VALORI!$B$3)+(AF$33*VALORI!$B$5),0)</f>
        <v>0</v>
      </c>
      <c r="AG73" s="28">
        <f>IF(AG27&gt;0, (AG$30*VALORI!$B$4)+(AG$31*VALORI!$B$4)+(AG$32*VALORI!$B$3)+(AG$33*VALORI!$B$5),0)</f>
        <v>0</v>
      </c>
      <c r="AH73" s="28">
        <f>IF(AH27&gt;0, (AH$30*VALORI!$B$4)+(AH$31*VALORI!$B$4)+(AH$32*VALORI!$B$3)+(AH$33*VALORI!$B$5),0)</f>
        <v>0</v>
      </c>
      <c r="AI73" s="28">
        <f>IF(AI27&gt;0, (AI$30*VALORI!$B$4)+(AI$31*VALORI!$B$4)+(AI$32*VALORI!$B$3)+(AI$33*VALORI!$B$5),0)</f>
        <v>0</v>
      </c>
      <c r="AJ73" s="28">
        <f>IF(AJ27&gt;0, (AJ$30*VALORI!$B$4)+(AJ$31*VALORI!$B$4)+(AJ$32*VALORI!$B$3)+(AJ$33*VALORI!$B$5),0)</f>
        <v>0</v>
      </c>
      <c r="AK73" s="28">
        <f>IF(AK27&gt;0, (AK$30*VALORI!$B$4)+(AK$31*VALORI!$B$4)+(AK$32*VALORI!$B$3)+(AK$33*VALORI!$B$5),0)</f>
        <v>0</v>
      </c>
      <c r="AL73" s="28">
        <f>IF(AL27&gt;0, (AL$30*VALORI!$B$4)+(AL$31*VALORI!$B$4)+(AL$32*VALORI!$B$3)+(AL$33*VALORI!$B$5),0)</f>
        <v>0</v>
      </c>
      <c r="AM73" s="28">
        <f>IF(AM27&gt;0, (AM$30*VALORI!$B$4)+(AM$31*VALORI!$B$4)+(AM$32*VALORI!$B$3)+(AM$33*VALORI!$B$5),0)</f>
        <v>0</v>
      </c>
      <c r="AN73" s="28">
        <f>IF(AN27&gt;0, (AN$30*VALORI!$B$4)+(AN$31*VALORI!$B$4)+(AN$32*VALORI!$B$3)+(AN$33*VALORI!$B$5),0)</f>
        <v>0</v>
      </c>
      <c r="AO73" s="28">
        <f>IF(AO27&gt;0, (AO$30*VALORI!$B$4)+(AO$31*VALORI!$B$4)+(AO$32*VALORI!$B$3)+(AO$33*VALORI!$B$5),0)</f>
        <v>0</v>
      </c>
    </row>
    <row r="74" spans="23:41" ht="15.75" x14ac:dyDescent="0.25">
      <c r="W74" s="28">
        <f>IF(W28&gt;0, (W$30*VALORI!$B$4)+(W$31*VALORI!$B$4)+(W$32*VALORI!$B$3)+(W$33*VALORI!$B$5),0)</f>
        <v>0</v>
      </c>
      <c r="X74" s="28">
        <f>IF(X28&gt;0, (X$30*VALORI!$B$4)+(X$31*VALORI!$B$4)+(X$32*VALORI!$B$3)+(X$33*VALORI!$B$5),0)</f>
        <v>0</v>
      </c>
      <c r="Y74" s="28">
        <f>IF(Y28&gt;0, (Y$30*VALORI!$B$4)+(Y$31*VALORI!$B$4)+(Y$32*VALORI!$B$3)+(Y$33*VALORI!$B$5),0)</f>
        <v>0</v>
      </c>
      <c r="Z74" s="28">
        <f>IF(Z28&gt;0, (Z$30*VALORI!$B$4)+(Z$31*VALORI!$B$4)+(Z$32*VALORI!$B$3)+(Z$33*VALORI!$B$5),0)</f>
        <v>0</v>
      </c>
      <c r="AA74" s="28">
        <f>IF(AA28&gt;0, (AA$30*VALORI!$B$4)+(AA$31*VALORI!$B$4)+(AA$32*VALORI!$B$3)+(AA$33*VALORI!$B$5),0)</f>
        <v>0</v>
      </c>
      <c r="AB74" s="28">
        <f>IF(AB28&gt;0, (AB$30*VALORI!$B$4)+(AB$31*VALORI!$B$4)+(AB$32*VALORI!$B$3)+(AB$33*VALORI!$B$5),0)</f>
        <v>0</v>
      </c>
      <c r="AC74" s="28">
        <f>IF(AC28&gt;0, (AC$30*VALORI!$B$4)+(AC$31*VALORI!$B$4)+(AC$32*VALORI!$B$3)+(AC$33*VALORI!$B$5),0)</f>
        <v>0</v>
      </c>
      <c r="AD74" s="28">
        <f>IF(AD28&gt;0, (AD$30*VALORI!$B$4)+(AD$31*VALORI!$B$4)+(AD$32*VALORI!$B$3)+(AD$33*VALORI!$B$5),0)</f>
        <v>0</v>
      </c>
      <c r="AE74" s="28">
        <f>IF(AE28&gt;0, (AE$30*VALORI!$B$4)+(AE$31*VALORI!$B$4)+(AE$32*VALORI!$B$3)+(AE$33*VALORI!$B$5),0)</f>
        <v>0</v>
      </c>
      <c r="AF74" s="28">
        <f>IF(AF28&gt;0, (AF$30*VALORI!$B$4)+(AF$31*VALORI!$B$4)+(AF$32*VALORI!$B$3)+(AF$33*VALORI!$B$5),0)</f>
        <v>0</v>
      </c>
      <c r="AG74" s="28">
        <f>IF(AG28&gt;0, (AG$30*VALORI!$B$4)+(AG$31*VALORI!$B$4)+(AG$32*VALORI!$B$3)+(AG$33*VALORI!$B$5),0)</f>
        <v>0</v>
      </c>
      <c r="AH74" s="28">
        <f>IF(AH28&gt;0, (AH$30*VALORI!$B$4)+(AH$31*VALORI!$B$4)+(AH$32*VALORI!$B$3)+(AH$33*VALORI!$B$5),0)</f>
        <v>0</v>
      </c>
      <c r="AI74" s="28">
        <f>IF(AI28&gt;0, (AI$30*VALORI!$B$4)+(AI$31*VALORI!$B$4)+(AI$32*VALORI!$B$3)+(AI$33*VALORI!$B$5),0)</f>
        <v>0</v>
      </c>
      <c r="AJ74" s="28">
        <f>IF(AJ28&gt;0, (AJ$30*VALORI!$B$4)+(AJ$31*VALORI!$B$4)+(AJ$32*VALORI!$B$3)+(AJ$33*VALORI!$B$5),0)</f>
        <v>0</v>
      </c>
      <c r="AK74" s="28">
        <f>IF(AK28&gt;0, (AK$30*VALORI!$B$4)+(AK$31*VALORI!$B$4)+(AK$32*VALORI!$B$3)+(AK$33*VALORI!$B$5),0)</f>
        <v>0</v>
      </c>
      <c r="AL74" s="28">
        <f>IF(AL28&gt;0, (AL$30*VALORI!$B$4)+(AL$31*VALORI!$B$4)+(AL$32*VALORI!$B$3)+(AL$33*VALORI!$B$5),0)</f>
        <v>0</v>
      </c>
      <c r="AM74" s="28">
        <f>IF(AM28&gt;0, (AM$30*VALORI!$B$4)+(AM$31*VALORI!$B$4)+(AM$32*VALORI!$B$3)+(AM$33*VALORI!$B$5),0)</f>
        <v>0</v>
      </c>
      <c r="AN74" s="28">
        <f>IF(AN28&gt;0, (AN$30*VALORI!$B$4)+(AN$31*VALORI!$B$4)+(AN$32*VALORI!$B$3)+(AN$33*VALORI!$B$5),0)</f>
        <v>0</v>
      </c>
      <c r="AO74" s="28">
        <f>IF(AO28&gt;0, (AO$30*VALORI!$B$4)+(AO$31*VALORI!$B$4)+(AO$32*VALORI!$B$3)+(AO$33*VALORI!$B$5),0)</f>
        <v>0</v>
      </c>
    </row>
  </sheetData>
  <sheetProtection algorithmName="SHA-512" hashValue="+GL9w8r2XWP9pPpoay0bX7ktmNUct1yqMoeA1sU9EX7Eva1p8mgrhRTyTjuZvhFH6Zb8cwyecL6Vx9ju19VP7Q==" saltValue="BZtwT+PfqMSMfV/k6W0UuA==" spinCount="100000" sheet="1" objects="1" scenarios="1"/>
  <mergeCells count="2">
    <mergeCell ref="A1:U1"/>
    <mergeCell ref="O30:P33"/>
  </mergeCells>
  <pageMargins left="0.23622047244094491" right="0.23622047244094491" top="0.74803149606299213" bottom="0.74803149606299213" header="0.31496062992125984" footer="0.31496062992125984"/>
  <pageSetup paperSize="9" scale="6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74"/>
  <sheetViews>
    <sheetView zoomScale="70" zoomScaleNormal="70" workbookViewId="0">
      <selection activeCell="A22" sqref="A22:XFD29"/>
    </sheetView>
  </sheetViews>
  <sheetFormatPr defaultColWidth="9.28515625" defaultRowHeight="15" x14ac:dyDescent="0.25"/>
  <cols>
    <col min="1" max="1" width="16.7109375" style="2" customWidth="1"/>
    <col min="2" max="2" width="43.85546875" style="2" bestFit="1" customWidth="1"/>
    <col min="3" max="3" width="20.28515625" style="2" customWidth="1"/>
    <col min="4" max="7" width="18.42578125" style="2" customWidth="1"/>
    <col min="8" max="8" width="5.7109375" style="2" customWidth="1"/>
    <col min="9" max="13" width="5.7109375" customWidth="1"/>
    <col min="14" max="14" width="13.5703125" bestFit="1" customWidth="1"/>
    <col min="15" max="15" width="14.42578125" bestFit="1" customWidth="1"/>
    <col min="16" max="17" width="12" bestFit="1" customWidth="1"/>
    <col min="18" max="18" width="22.5703125" customWidth="1"/>
    <col min="19" max="19" width="12.85546875" bestFit="1" customWidth="1"/>
    <col min="20" max="20" width="13.42578125" customWidth="1"/>
    <col min="21" max="21" width="9.140625"/>
    <col min="22" max="23" width="12.140625" customWidth="1"/>
    <col min="24" max="24" width="12.140625" bestFit="1" customWidth="1"/>
    <col min="25" max="25" width="12.140625" customWidth="1"/>
    <col min="26" max="26" width="11.5703125" bestFit="1" customWidth="1"/>
  </cols>
  <sheetData>
    <row r="1" spans="1:26" ht="21.75" thickBot="1" x14ac:dyDescent="0.35">
      <c r="A1" s="215" t="s">
        <v>199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7"/>
      <c r="V1" s="51" t="s">
        <v>13</v>
      </c>
      <c r="W1" s="51" t="s">
        <v>13</v>
      </c>
      <c r="X1" s="38" t="s">
        <v>13</v>
      </c>
      <c r="Y1" s="38"/>
      <c r="Z1" s="37" t="s">
        <v>13</v>
      </c>
    </row>
    <row r="2" spans="1:26" ht="200.25" customHeight="1" x14ac:dyDescent="0.25">
      <c r="A2" s="6" t="s">
        <v>14</v>
      </c>
      <c r="B2" s="6" t="s">
        <v>200</v>
      </c>
      <c r="C2" s="6" t="s">
        <v>201</v>
      </c>
      <c r="D2" s="6"/>
      <c r="E2" s="6"/>
      <c r="F2" s="6"/>
      <c r="G2" s="6"/>
      <c r="H2" s="14" t="s">
        <v>21</v>
      </c>
      <c r="I2" s="14" t="s">
        <v>22</v>
      </c>
      <c r="J2" s="14" t="s">
        <v>23</v>
      </c>
      <c r="K2" s="14" t="s">
        <v>24</v>
      </c>
      <c r="L2" s="14" t="s">
        <v>25</v>
      </c>
      <c r="M2" s="14" t="s">
        <v>26</v>
      </c>
      <c r="N2" s="18" t="s">
        <v>27</v>
      </c>
      <c r="O2" s="15" t="s">
        <v>28</v>
      </c>
      <c r="P2" s="20" t="s">
        <v>29</v>
      </c>
      <c r="Q2" s="22" t="s">
        <v>30</v>
      </c>
      <c r="R2" s="21" t="s">
        <v>301</v>
      </c>
      <c r="S2" s="31" t="s">
        <v>31</v>
      </c>
      <c r="T2" s="31" t="s">
        <v>32</v>
      </c>
      <c r="V2" s="36" t="s">
        <v>33</v>
      </c>
      <c r="W2" s="36" t="s">
        <v>34</v>
      </c>
      <c r="X2" s="36" t="s">
        <v>35</v>
      </c>
      <c r="Y2" s="36" t="s">
        <v>36</v>
      </c>
      <c r="Z2" s="36" t="s">
        <v>143</v>
      </c>
    </row>
    <row r="3" spans="1:26" ht="20.25" customHeight="1" x14ac:dyDescent="0.35">
      <c r="A3" s="11"/>
      <c r="B3" s="19" t="s">
        <v>202</v>
      </c>
      <c r="C3" s="19" t="s">
        <v>203</v>
      </c>
      <c r="D3" s="19" t="s">
        <v>54</v>
      </c>
      <c r="E3" s="19"/>
      <c r="F3" s="19" t="s">
        <v>54</v>
      </c>
      <c r="G3" s="19" t="s">
        <v>54</v>
      </c>
      <c r="H3" s="3">
        <v>30</v>
      </c>
      <c r="I3" s="3">
        <v>8</v>
      </c>
      <c r="J3" s="3">
        <v>8</v>
      </c>
      <c r="K3" s="89">
        <v>90</v>
      </c>
      <c r="L3" s="3">
        <v>8</v>
      </c>
      <c r="M3" s="3">
        <v>25</v>
      </c>
      <c r="N3" s="9">
        <f>(VALORI!B$3 * 'SILI PASTA LUNGA'!H3) + (VALORI!B$4 * 'SILI PASTA LUNGA'!I3) + (VALORI!B$4 * 'SILI PASTA LUNGA'!J3) + (VALORI!B$5 * 'SILI PASTA LUNGA'!K3) + (VALORI!B$6 * 'SILI PASTA LUNGA'!L3) + (VALORI!B$7 * 'SILI PASTA LUNGA'!M3)</f>
        <v>5510</v>
      </c>
      <c r="O3" s="13">
        <f>(N3*25%)+N3</f>
        <v>6887.5</v>
      </c>
      <c r="P3" s="25">
        <v>10468.92</v>
      </c>
      <c r="Q3" s="26">
        <f>(P3*20%)+P3</f>
        <v>12562.704</v>
      </c>
      <c r="R3" s="27" t="s">
        <v>204</v>
      </c>
      <c r="S3" s="28">
        <f t="shared" ref="S3:S20" si="0">N3+P3</f>
        <v>15978.92</v>
      </c>
      <c r="T3" s="28">
        <f t="shared" ref="T3:T20" si="1">O3+Q3</f>
        <v>19450.203999999998</v>
      </c>
      <c r="U3" s="35" t="s">
        <v>55</v>
      </c>
      <c r="V3" s="28">
        <f>(P3*6%)</f>
        <v>628.13519999999994</v>
      </c>
      <c r="W3" s="28">
        <f>(P3*20%)</f>
        <v>2093.7840000000001</v>
      </c>
      <c r="X3" s="28">
        <v>0</v>
      </c>
      <c r="Y3" s="28">
        <f>(X3*65%)+X3</f>
        <v>0</v>
      </c>
      <c r="Z3" s="28">
        <v>0</v>
      </c>
    </row>
    <row r="4" spans="1:26" ht="20.25" customHeight="1" x14ac:dyDescent="0.35">
      <c r="A4" s="11"/>
      <c r="B4" s="19" t="s">
        <v>205</v>
      </c>
      <c r="C4" s="19" t="s">
        <v>203</v>
      </c>
      <c r="D4" s="19" t="s">
        <v>54</v>
      </c>
      <c r="E4" s="19" t="s">
        <v>54</v>
      </c>
      <c r="F4" s="19" t="s">
        <v>54</v>
      </c>
      <c r="G4" s="19" t="s">
        <v>54</v>
      </c>
      <c r="H4" s="3">
        <v>30</v>
      </c>
      <c r="I4" s="3">
        <v>8</v>
      </c>
      <c r="J4" s="3">
        <v>8</v>
      </c>
      <c r="K4" s="89">
        <v>90</v>
      </c>
      <c r="L4" s="3">
        <v>8</v>
      </c>
      <c r="M4" s="3">
        <v>25</v>
      </c>
      <c r="N4" s="9">
        <f>(VALORI!B$3 * 'SILI PASTA LUNGA'!H4) + (VALORI!B$4 * 'SILI PASTA LUNGA'!I4) + (VALORI!B$4 * 'SILI PASTA LUNGA'!J4) + (VALORI!B$5 * 'SILI PASTA LUNGA'!K4) + (VALORI!B$6 * 'SILI PASTA LUNGA'!L4) + (VALORI!B$7 * 'SILI PASTA LUNGA'!M4)</f>
        <v>5510</v>
      </c>
      <c r="O4" s="13">
        <f>(N4*25%)+N4</f>
        <v>6887.5</v>
      </c>
      <c r="P4" s="25">
        <v>10468.92</v>
      </c>
      <c r="Q4" s="26">
        <f t="shared" ref="Q4:Q20" si="2">(P4*20%)+P4</f>
        <v>12562.704</v>
      </c>
      <c r="R4" s="27" t="s">
        <v>204</v>
      </c>
      <c r="S4" s="28">
        <f t="shared" si="0"/>
        <v>15978.92</v>
      </c>
      <c r="T4" s="28">
        <f t="shared" si="1"/>
        <v>19450.203999999998</v>
      </c>
      <c r="U4" s="35" t="s">
        <v>55</v>
      </c>
      <c r="V4" s="28">
        <f>(P4*6%)</f>
        <v>628.13519999999994</v>
      </c>
      <c r="W4" s="28">
        <f>(P4*20%)</f>
        <v>2093.7840000000001</v>
      </c>
      <c r="X4" s="28">
        <v>0</v>
      </c>
      <c r="Y4" s="28">
        <f>(X4*65%)+X4</f>
        <v>0</v>
      </c>
      <c r="Z4" s="28">
        <v>0</v>
      </c>
    </row>
    <row r="5" spans="1:26" ht="20.25" customHeight="1" x14ac:dyDescent="0.35">
      <c r="A5" s="11"/>
      <c r="B5" s="19" t="s">
        <v>206</v>
      </c>
      <c r="C5" s="19" t="s">
        <v>203</v>
      </c>
      <c r="D5" s="19" t="s">
        <v>54</v>
      </c>
      <c r="E5" s="19" t="s">
        <v>54</v>
      </c>
      <c r="F5" s="19" t="s">
        <v>54</v>
      </c>
      <c r="G5" s="19" t="s">
        <v>54</v>
      </c>
      <c r="H5" s="3">
        <v>30</v>
      </c>
      <c r="I5" s="3">
        <v>8</v>
      </c>
      <c r="J5" s="3">
        <v>8</v>
      </c>
      <c r="K5" s="89">
        <v>90</v>
      </c>
      <c r="L5" s="3">
        <v>8</v>
      </c>
      <c r="M5" s="3">
        <v>25</v>
      </c>
      <c r="N5" s="9">
        <f>(VALORI!B$3 * 'SILI PASTA LUNGA'!H5) + (VALORI!B$4 * 'SILI PASTA LUNGA'!I5) + (VALORI!B$4 * 'SILI PASTA LUNGA'!J5) + (VALORI!B$5 * 'SILI PASTA LUNGA'!K5) + (VALORI!B$6 * 'SILI PASTA LUNGA'!L5) + (VALORI!B$7 * 'SILI PASTA LUNGA'!M5)</f>
        <v>5510</v>
      </c>
      <c r="O5" s="13">
        <f t="shared" ref="O5:O17" si="3">(N5*25%)+N5</f>
        <v>6887.5</v>
      </c>
      <c r="P5" s="25">
        <v>10468.92</v>
      </c>
      <c r="Q5" s="26">
        <f t="shared" si="2"/>
        <v>12562.704</v>
      </c>
      <c r="R5" s="27" t="s">
        <v>204</v>
      </c>
      <c r="S5" s="28">
        <f t="shared" si="0"/>
        <v>15978.92</v>
      </c>
      <c r="T5" s="28">
        <f t="shared" si="1"/>
        <v>19450.203999999998</v>
      </c>
      <c r="U5" s="35" t="s">
        <v>55</v>
      </c>
      <c r="V5" s="28">
        <f t="shared" ref="V5:V20" si="4">(P5*6%)</f>
        <v>628.13519999999994</v>
      </c>
      <c r="W5" s="28">
        <f t="shared" ref="W5:W20" si="5">(P5*20%)</f>
        <v>2093.7840000000001</v>
      </c>
      <c r="X5" s="28">
        <v>0</v>
      </c>
      <c r="Y5" s="28">
        <f t="shared" ref="Y5:Y20" si="6">(X5*65%)+X5</f>
        <v>0</v>
      </c>
      <c r="Z5" s="28">
        <v>0</v>
      </c>
    </row>
    <row r="6" spans="1:26" ht="20.25" customHeight="1" x14ac:dyDescent="0.35">
      <c r="A6" s="11"/>
      <c r="B6" s="19" t="s">
        <v>207</v>
      </c>
      <c r="C6" s="19" t="s">
        <v>203</v>
      </c>
      <c r="D6" s="19" t="s">
        <v>54</v>
      </c>
      <c r="E6" s="19" t="s">
        <v>54</v>
      </c>
      <c r="F6" s="19" t="s">
        <v>54</v>
      </c>
      <c r="G6" s="19" t="s">
        <v>54</v>
      </c>
      <c r="H6" s="3">
        <v>30</v>
      </c>
      <c r="I6" s="3">
        <v>25</v>
      </c>
      <c r="J6" s="3">
        <v>20</v>
      </c>
      <c r="K6" s="89">
        <v>120</v>
      </c>
      <c r="L6" s="3">
        <v>16</v>
      </c>
      <c r="M6" s="3">
        <v>35</v>
      </c>
      <c r="N6" s="9">
        <f>(VALORI!B$3 * 'SILI PASTA LUNGA'!H6) + (VALORI!B$4 * 'SILI PASTA LUNGA'!I6) + (VALORI!B$4 * 'SILI PASTA LUNGA'!J6) + (VALORI!B$5 * 'SILI PASTA LUNGA'!K6) + (VALORI!B$6 * 'SILI PASTA LUNGA'!L6) + (VALORI!B$7 * 'SILI PASTA LUNGA'!M6)</f>
        <v>8094</v>
      </c>
      <c r="O6" s="13">
        <f t="shared" si="3"/>
        <v>10117.5</v>
      </c>
      <c r="P6" s="25">
        <v>16095.9645</v>
      </c>
      <c r="Q6" s="26">
        <f t="shared" si="2"/>
        <v>19315.1574</v>
      </c>
      <c r="R6" s="27" t="s">
        <v>208</v>
      </c>
      <c r="S6" s="28">
        <f t="shared" si="0"/>
        <v>24189.964500000002</v>
      </c>
      <c r="T6" s="28">
        <f t="shared" si="1"/>
        <v>29432.6574</v>
      </c>
      <c r="U6" s="35" t="s">
        <v>55</v>
      </c>
      <c r="V6" s="28">
        <f t="shared" si="4"/>
        <v>965.75786999999991</v>
      </c>
      <c r="W6" s="28">
        <f t="shared" si="5"/>
        <v>3219.1929</v>
      </c>
      <c r="X6" s="28">
        <v>5000</v>
      </c>
      <c r="Y6" s="28">
        <f t="shared" si="6"/>
        <v>8250</v>
      </c>
      <c r="Z6" s="28">
        <v>5000</v>
      </c>
    </row>
    <row r="7" spans="1:26" ht="20.25" customHeight="1" x14ac:dyDescent="0.35">
      <c r="A7" s="11"/>
      <c r="B7" s="19" t="s">
        <v>209</v>
      </c>
      <c r="C7" s="19" t="s">
        <v>203</v>
      </c>
      <c r="D7" s="19" t="s">
        <v>54</v>
      </c>
      <c r="E7" s="19" t="s">
        <v>54</v>
      </c>
      <c r="F7" s="19" t="s">
        <v>54</v>
      </c>
      <c r="G7" s="19" t="s">
        <v>54</v>
      </c>
      <c r="H7" s="3">
        <v>30</v>
      </c>
      <c r="I7" s="3">
        <v>25</v>
      </c>
      <c r="J7" s="3">
        <v>20</v>
      </c>
      <c r="K7" s="89">
        <v>140</v>
      </c>
      <c r="L7" s="3">
        <v>16</v>
      </c>
      <c r="M7" s="3">
        <v>35</v>
      </c>
      <c r="N7" s="9">
        <f>(VALORI!B$3 * 'SILI PASTA LUNGA'!H7) + (VALORI!B$4 * 'SILI PASTA LUNGA'!I7) + (VALORI!B$4 * 'SILI PASTA LUNGA'!J7) + (VALORI!B$5 * 'SILI PASTA LUNGA'!K7) + (VALORI!B$6 * 'SILI PASTA LUNGA'!L7) + (VALORI!B$7 * 'SILI PASTA LUNGA'!M7)</f>
        <v>8674</v>
      </c>
      <c r="O7" s="13">
        <f t="shared" si="3"/>
        <v>10842.5</v>
      </c>
      <c r="P7" s="25">
        <v>16619.410500000002</v>
      </c>
      <c r="Q7" s="26">
        <f t="shared" si="2"/>
        <v>19943.292600000001</v>
      </c>
      <c r="R7" s="27" t="s">
        <v>208</v>
      </c>
      <c r="S7" s="28">
        <f t="shared" si="0"/>
        <v>25293.410500000002</v>
      </c>
      <c r="T7" s="28">
        <f t="shared" si="1"/>
        <v>30785.792600000001</v>
      </c>
      <c r="U7" s="35" t="s">
        <v>55</v>
      </c>
      <c r="V7" s="28">
        <f t="shared" si="4"/>
        <v>997.1646300000001</v>
      </c>
      <c r="W7" s="28">
        <f t="shared" si="5"/>
        <v>3323.8821000000007</v>
      </c>
      <c r="X7" s="28">
        <v>5000</v>
      </c>
      <c r="Y7" s="28">
        <f t="shared" si="6"/>
        <v>8250</v>
      </c>
      <c r="Z7" s="28">
        <v>5000</v>
      </c>
    </row>
    <row r="8" spans="1:26" ht="20.25" customHeight="1" x14ac:dyDescent="0.35">
      <c r="A8" s="11"/>
      <c r="B8" s="19" t="s">
        <v>209</v>
      </c>
      <c r="C8" s="19" t="s">
        <v>203</v>
      </c>
      <c r="D8" s="19" t="s">
        <v>54</v>
      </c>
      <c r="E8" s="19" t="s">
        <v>54</v>
      </c>
      <c r="F8" s="19" t="s">
        <v>54</v>
      </c>
      <c r="G8" s="19" t="s">
        <v>54</v>
      </c>
      <c r="H8" s="3">
        <v>30</v>
      </c>
      <c r="I8" s="3">
        <v>25</v>
      </c>
      <c r="J8" s="3">
        <v>20</v>
      </c>
      <c r="K8" s="89">
        <v>140</v>
      </c>
      <c r="L8" s="3">
        <v>16</v>
      </c>
      <c r="M8" s="3">
        <v>35</v>
      </c>
      <c r="N8" s="9">
        <f>(VALORI!B$3 * 'SILI PASTA LUNGA'!H8) + (VALORI!B$4 * 'SILI PASTA LUNGA'!I8) + (VALORI!B$4 * 'SILI PASTA LUNGA'!J8) + (VALORI!B$5 * 'SILI PASTA LUNGA'!K8) + (VALORI!B$6 * 'SILI PASTA LUNGA'!L8) + (VALORI!B$7 * 'SILI PASTA LUNGA'!M8)</f>
        <v>8674</v>
      </c>
      <c r="O8" s="13">
        <f t="shared" si="3"/>
        <v>10842.5</v>
      </c>
      <c r="P8" s="25">
        <v>16619.410500000002</v>
      </c>
      <c r="Q8" s="26">
        <f t="shared" si="2"/>
        <v>19943.292600000001</v>
      </c>
      <c r="R8" s="27" t="s">
        <v>208</v>
      </c>
      <c r="S8" s="28">
        <f t="shared" si="0"/>
        <v>25293.410500000002</v>
      </c>
      <c r="T8" s="28">
        <f t="shared" si="1"/>
        <v>30785.792600000001</v>
      </c>
      <c r="U8" s="35" t="s">
        <v>55</v>
      </c>
      <c r="V8" s="28">
        <f t="shared" si="4"/>
        <v>997.1646300000001</v>
      </c>
      <c r="W8" s="28">
        <f t="shared" si="5"/>
        <v>3323.8821000000007</v>
      </c>
      <c r="X8" s="28">
        <v>5000</v>
      </c>
      <c r="Y8" s="28">
        <f t="shared" si="6"/>
        <v>8250</v>
      </c>
      <c r="Z8" s="28">
        <v>5000</v>
      </c>
    </row>
    <row r="9" spans="1:26" ht="20.25" customHeight="1" x14ac:dyDescent="0.35">
      <c r="A9" s="11"/>
      <c r="B9" s="19" t="s">
        <v>209</v>
      </c>
      <c r="C9" s="19" t="s">
        <v>203</v>
      </c>
      <c r="D9" s="19" t="s">
        <v>54</v>
      </c>
      <c r="E9" s="19" t="s">
        <v>54</v>
      </c>
      <c r="F9" s="19" t="s">
        <v>54</v>
      </c>
      <c r="G9" s="19" t="s">
        <v>54</v>
      </c>
      <c r="H9" s="3">
        <v>30</v>
      </c>
      <c r="I9" s="3">
        <v>25</v>
      </c>
      <c r="J9" s="3">
        <v>20</v>
      </c>
      <c r="K9" s="89">
        <v>140</v>
      </c>
      <c r="L9" s="3">
        <v>16</v>
      </c>
      <c r="M9" s="3">
        <v>35</v>
      </c>
      <c r="N9" s="9">
        <f>(VALORI!B$3 * 'SILI PASTA LUNGA'!H9) + (VALORI!B$4 * 'SILI PASTA LUNGA'!I9) + (VALORI!B$4 * 'SILI PASTA LUNGA'!J9) + (VALORI!B$5 * 'SILI PASTA LUNGA'!K9) + (VALORI!B$6 * 'SILI PASTA LUNGA'!L9) + (VALORI!B$7 * 'SILI PASTA LUNGA'!M9)</f>
        <v>8674</v>
      </c>
      <c r="O9" s="13">
        <f t="shared" si="3"/>
        <v>10842.5</v>
      </c>
      <c r="P9" s="25">
        <v>16619.410500000002</v>
      </c>
      <c r="Q9" s="26">
        <f t="shared" si="2"/>
        <v>19943.292600000001</v>
      </c>
      <c r="R9" s="27" t="s">
        <v>208</v>
      </c>
      <c r="S9" s="28">
        <f t="shared" si="0"/>
        <v>25293.410500000002</v>
      </c>
      <c r="T9" s="28">
        <f t="shared" si="1"/>
        <v>30785.792600000001</v>
      </c>
      <c r="U9" s="35" t="s">
        <v>55</v>
      </c>
      <c r="V9" s="28">
        <f t="shared" si="4"/>
        <v>997.1646300000001</v>
      </c>
      <c r="W9" s="28">
        <f t="shared" si="5"/>
        <v>3323.8821000000007</v>
      </c>
      <c r="X9" s="28">
        <v>5000</v>
      </c>
      <c r="Y9" s="28">
        <f t="shared" si="6"/>
        <v>8250</v>
      </c>
      <c r="Z9" s="28">
        <v>5000</v>
      </c>
    </row>
    <row r="10" spans="1:26" ht="20.25" customHeight="1" x14ac:dyDescent="0.35">
      <c r="A10" s="11"/>
      <c r="B10" s="19" t="s">
        <v>210</v>
      </c>
      <c r="C10" s="19" t="s">
        <v>203</v>
      </c>
      <c r="D10" s="19" t="s">
        <v>54</v>
      </c>
      <c r="E10" s="19" t="s">
        <v>54</v>
      </c>
      <c r="F10" s="19" t="s">
        <v>54</v>
      </c>
      <c r="G10" s="19" t="s">
        <v>54</v>
      </c>
      <c r="H10" s="3">
        <v>30</v>
      </c>
      <c r="I10" s="3">
        <v>25</v>
      </c>
      <c r="J10" s="3">
        <v>20</v>
      </c>
      <c r="K10" s="89">
        <v>150</v>
      </c>
      <c r="L10" s="3">
        <v>16</v>
      </c>
      <c r="M10" s="3">
        <v>35</v>
      </c>
      <c r="N10" s="9">
        <f>(VALORI!B$3 * 'SILI PASTA LUNGA'!H10) + (VALORI!B$4 * 'SILI PASTA LUNGA'!I10) + (VALORI!B$4 * 'SILI PASTA LUNGA'!J10) + (VALORI!B$5 * 'SILI PASTA LUNGA'!K10) + (VALORI!B$6 * 'SILI PASTA LUNGA'!L10) + (VALORI!B$7 * 'SILI PASTA LUNGA'!M10)</f>
        <v>8964</v>
      </c>
      <c r="O10" s="13">
        <f t="shared" si="3"/>
        <v>11205</v>
      </c>
      <c r="P10" s="25">
        <v>17011.994999999999</v>
      </c>
      <c r="Q10" s="26">
        <f t="shared" si="2"/>
        <v>20414.394</v>
      </c>
      <c r="R10" s="27" t="s">
        <v>208</v>
      </c>
      <c r="S10" s="28">
        <f t="shared" si="0"/>
        <v>25975.994999999999</v>
      </c>
      <c r="T10" s="28">
        <f t="shared" si="1"/>
        <v>31619.394</v>
      </c>
      <c r="U10" s="35" t="s">
        <v>55</v>
      </c>
      <c r="V10" s="28">
        <f t="shared" si="4"/>
        <v>1020.7196999999999</v>
      </c>
      <c r="W10" s="28">
        <f t="shared" si="5"/>
        <v>3402.3989999999999</v>
      </c>
      <c r="X10" s="28">
        <v>5000</v>
      </c>
      <c r="Y10" s="28">
        <f t="shared" si="6"/>
        <v>8250</v>
      </c>
      <c r="Z10" s="28">
        <v>5000</v>
      </c>
    </row>
    <row r="11" spans="1:26" ht="20.25" customHeight="1" x14ac:dyDescent="0.35">
      <c r="A11" s="11"/>
      <c r="B11" s="19" t="s">
        <v>210</v>
      </c>
      <c r="C11" s="19" t="s">
        <v>203</v>
      </c>
      <c r="D11" s="19" t="s">
        <v>54</v>
      </c>
      <c r="E11" s="19" t="s">
        <v>54</v>
      </c>
      <c r="F11" s="19" t="s">
        <v>54</v>
      </c>
      <c r="G11" s="19" t="s">
        <v>54</v>
      </c>
      <c r="H11" s="3">
        <v>30</v>
      </c>
      <c r="I11" s="3">
        <v>25</v>
      </c>
      <c r="J11" s="3">
        <v>20</v>
      </c>
      <c r="K11" s="89">
        <v>150</v>
      </c>
      <c r="L11" s="3">
        <v>16</v>
      </c>
      <c r="M11" s="3">
        <v>35</v>
      </c>
      <c r="N11" s="9">
        <f>(VALORI!B$3 * 'SILI PASTA LUNGA'!H11) + (VALORI!B$4 * 'SILI PASTA LUNGA'!I11) + (VALORI!B$4 * 'SILI PASTA LUNGA'!J11) + (VALORI!B$5 * 'SILI PASTA LUNGA'!K11) + (VALORI!B$6 * 'SILI PASTA LUNGA'!L11) + (VALORI!B$7 * 'SILI PASTA LUNGA'!M11)</f>
        <v>8964</v>
      </c>
      <c r="O11" s="13">
        <f t="shared" si="3"/>
        <v>11205</v>
      </c>
      <c r="P11" s="25">
        <v>17011.994999999999</v>
      </c>
      <c r="Q11" s="26">
        <f t="shared" si="2"/>
        <v>20414.394</v>
      </c>
      <c r="R11" s="27" t="s">
        <v>208</v>
      </c>
      <c r="S11" s="28">
        <f t="shared" si="0"/>
        <v>25975.994999999999</v>
      </c>
      <c r="T11" s="28">
        <f t="shared" si="1"/>
        <v>31619.394</v>
      </c>
      <c r="U11" s="35" t="s">
        <v>55</v>
      </c>
      <c r="V11" s="28">
        <f t="shared" si="4"/>
        <v>1020.7196999999999</v>
      </c>
      <c r="W11" s="28">
        <f t="shared" si="5"/>
        <v>3402.3989999999999</v>
      </c>
      <c r="X11" s="28">
        <v>7000</v>
      </c>
      <c r="Y11" s="28">
        <f t="shared" si="6"/>
        <v>11550</v>
      </c>
      <c r="Z11" s="28">
        <v>5000</v>
      </c>
    </row>
    <row r="12" spans="1:26" ht="20.25" customHeight="1" x14ac:dyDescent="0.35">
      <c r="A12" s="11"/>
      <c r="B12" s="19" t="s">
        <v>290</v>
      </c>
      <c r="C12" s="19" t="s">
        <v>203</v>
      </c>
      <c r="D12" s="19" t="s">
        <v>54</v>
      </c>
      <c r="E12" s="19" t="s">
        <v>54</v>
      </c>
      <c r="F12" s="19" t="s">
        <v>54</v>
      </c>
      <c r="G12" s="19" t="s">
        <v>54</v>
      </c>
      <c r="H12" s="3">
        <v>30</v>
      </c>
      <c r="I12" s="3">
        <v>25</v>
      </c>
      <c r="J12" s="3">
        <v>20</v>
      </c>
      <c r="K12" s="89">
        <v>160</v>
      </c>
      <c r="L12" s="3">
        <v>20</v>
      </c>
      <c r="M12" s="3">
        <v>35</v>
      </c>
      <c r="N12" s="9">
        <f>(VALORI!B$3 * 'SILI PASTA LUNGA'!H12) + (VALORI!B$4 * 'SILI PASTA LUNGA'!I12) + (VALORI!B$4 * 'SILI PASTA LUNGA'!J12) + (VALORI!B$5 * 'SILI PASTA LUNGA'!K12) + (VALORI!B$6 * 'SILI PASTA LUNGA'!L12) + (VALORI!B$7 * 'SILI PASTA LUNGA'!M12)</f>
        <v>9370</v>
      </c>
      <c r="O12" s="13">
        <f t="shared" ref="O12" si="7">(N12*25%)+N12</f>
        <v>11712.5</v>
      </c>
      <c r="P12" s="25">
        <v>17635.145</v>
      </c>
      <c r="Q12" s="26">
        <f t="shared" si="2"/>
        <v>21162.173999999999</v>
      </c>
      <c r="R12" s="27" t="s">
        <v>208</v>
      </c>
      <c r="S12" s="28">
        <f t="shared" ref="S12" si="8">N12+P12</f>
        <v>27005.145</v>
      </c>
      <c r="T12" s="28">
        <f t="shared" ref="T12" si="9">O12+Q12</f>
        <v>32874.673999999999</v>
      </c>
      <c r="U12" s="35" t="s">
        <v>55</v>
      </c>
      <c r="V12" s="28">
        <f t="shared" ref="V12" si="10">(P12*6%)</f>
        <v>1058.1087</v>
      </c>
      <c r="W12" s="28">
        <f t="shared" ref="W12" si="11">(P12*20%)</f>
        <v>3527.0290000000005</v>
      </c>
      <c r="X12" s="28">
        <v>7000</v>
      </c>
      <c r="Y12" s="28">
        <f t="shared" ref="Y12" si="12">(X12*65%)+X12</f>
        <v>11550</v>
      </c>
      <c r="Z12" s="28">
        <v>5000</v>
      </c>
    </row>
    <row r="13" spans="1:26" ht="20.25" customHeight="1" x14ac:dyDescent="0.35">
      <c r="A13" s="11"/>
      <c r="B13" s="19" t="s">
        <v>211</v>
      </c>
      <c r="C13" s="19" t="s">
        <v>212</v>
      </c>
      <c r="D13" s="19" t="s">
        <v>54</v>
      </c>
      <c r="E13" s="19" t="s">
        <v>54</v>
      </c>
      <c r="F13" s="19" t="s">
        <v>54</v>
      </c>
      <c r="G13" s="19" t="s">
        <v>54</v>
      </c>
      <c r="H13" s="3">
        <v>40</v>
      </c>
      <c r="I13" s="3">
        <v>30</v>
      </c>
      <c r="J13" s="3">
        <v>25</v>
      </c>
      <c r="K13" s="89">
        <v>200</v>
      </c>
      <c r="L13" s="3">
        <v>24</v>
      </c>
      <c r="M13" s="3">
        <v>50</v>
      </c>
      <c r="N13" s="9">
        <f>(VALORI!B$3 * 'SILI PASTA LUNGA'!H13) + (VALORI!B$4 * 'SILI PASTA LUNGA'!I13) + (VALORI!B$4 * 'SILI PASTA LUNGA'!J13) + (VALORI!B$5 * 'SILI PASTA LUNGA'!K13) + (VALORI!B$6 * 'SILI PASTA LUNGA'!L13) + (VALORI!B$7 * 'SILI PASTA LUNGA'!M13)</f>
        <v>11966</v>
      </c>
      <c r="O13" s="13">
        <f t="shared" si="3"/>
        <v>14957.5</v>
      </c>
      <c r="P13" s="25">
        <v>21592.147499999999</v>
      </c>
      <c r="Q13" s="26">
        <f t="shared" si="2"/>
        <v>25910.576999999997</v>
      </c>
      <c r="R13" s="27" t="s">
        <v>213</v>
      </c>
      <c r="S13" s="28">
        <f t="shared" si="0"/>
        <v>33558.147499999999</v>
      </c>
      <c r="T13" s="28">
        <f t="shared" si="1"/>
        <v>40868.076999999997</v>
      </c>
      <c r="U13" s="35" t="s">
        <v>55</v>
      </c>
      <c r="V13" s="28">
        <f t="shared" si="4"/>
        <v>1295.5288499999999</v>
      </c>
      <c r="W13" s="28">
        <f t="shared" si="5"/>
        <v>4318.4295000000002</v>
      </c>
      <c r="X13" s="28">
        <v>7000</v>
      </c>
      <c r="Y13" s="28">
        <f t="shared" si="6"/>
        <v>11550</v>
      </c>
      <c r="Z13" s="28">
        <v>5000</v>
      </c>
    </row>
    <row r="14" spans="1:26" ht="20.25" customHeight="1" x14ac:dyDescent="0.35">
      <c r="A14" s="11"/>
      <c r="B14" s="19" t="s">
        <v>214</v>
      </c>
      <c r="C14" s="19" t="s">
        <v>212</v>
      </c>
      <c r="D14" s="19" t="s">
        <v>54</v>
      </c>
      <c r="E14" s="19" t="s">
        <v>54</v>
      </c>
      <c r="F14" s="19" t="s">
        <v>54</v>
      </c>
      <c r="G14" s="19" t="s">
        <v>54</v>
      </c>
      <c r="H14" s="3">
        <v>40</v>
      </c>
      <c r="I14" s="3">
        <v>30</v>
      </c>
      <c r="J14" s="3">
        <v>25</v>
      </c>
      <c r="K14" s="89">
        <v>200</v>
      </c>
      <c r="L14" s="3">
        <v>24</v>
      </c>
      <c r="M14" s="3">
        <v>50</v>
      </c>
      <c r="N14" s="9">
        <f>(VALORI!B$3 * 'SILI PASTA LUNGA'!H14) + (VALORI!B$4 * 'SILI PASTA LUNGA'!I14) + (VALORI!B$4 * 'SILI PASTA LUNGA'!J14) + (VALORI!B$5 * 'SILI PASTA LUNGA'!K14) + (VALORI!B$6 * 'SILI PASTA LUNGA'!L14) + (VALORI!B$7 * 'SILI PASTA LUNGA'!M14)</f>
        <v>11966</v>
      </c>
      <c r="O14" s="13">
        <f t="shared" si="3"/>
        <v>14957.5</v>
      </c>
      <c r="P14" s="25">
        <v>21592.147499999999</v>
      </c>
      <c r="Q14" s="26">
        <f t="shared" si="2"/>
        <v>25910.576999999997</v>
      </c>
      <c r="R14" s="27" t="s">
        <v>213</v>
      </c>
      <c r="S14" s="28">
        <f t="shared" si="0"/>
        <v>33558.147499999999</v>
      </c>
      <c r="T14" s="28">
        <f t="shared" si="1"/>
        <v>40868.076999999997</v>
      </c>
      <c r="U14" s="35" t="s">
        <v>55</v>
      </c>
      <c r="V14" s="28">
        <f t="shared" si="4"/>
        <v>1295.5288499999999</v>
      </c>
      <c r="W14" s="28">
        <f t="shared" si="5"/>
        <v>4318.4295000000002</v>
      </c>
      <c r="X14" s="28">
        <v>7000</v>
      </c>
      <c r="Y14" s="28">
        <f t="shared" si="6"/>
        <v>11550</v>
      </c>
      <c r="Z14" s="28">
        <v>5000</v>
      </c>
    </row>
    <row r="15" spans="1:26" ht="20.25" customHeight="1" x14ac:dyDescent="0.35">
      <c r="A15" s="11"/>
      <c r="B15" s="19" t="s">
        <v>215</v>
      </c>
      <c r="C15" s="19" t="s">
        <v>212</v>
      </c>
      <c r="D15" s="19" t="s">
        <v>54</v>
      </c>
      <c r="E15" s="19" t="s">
        <v>54</v>
      </c>
      <c r="F15" s="19" t="s">
        <v>54</v>
      </c>
      <c r="G15" s="19" t="s">
        <v>54</v>
      </c>
      <c r="H15" s="3">
        <v>40</v>
      </c>
      <c r="I15" s="3">
        <v>30</v>
      </c>
      <c r="J15" s="3">
        <v>25</v>
      </c>
      <c r="K15" s="89">
        <v>200</v>
      </c>
      <c r="L15" s="3">
        <v>24</v>
      </c>
      <c r="M15" s="3">
        <v>50</v>
      </c>
      <c r="N15" s="9">
        <f>(VALORI!B$3 * 'SILI PASTA LUNGA'!H15) + (VALORI!B$4 * 'SILI PASTA LUNGA'!I15) + (VALORI!B$4 * 'SILI PASTA LUNGA'!J15) + (VALORI!B$5 * 'SILI PASTA LUNGA'!K15) + (VALORI!B$6 * 'SILI PASTA LUNGA'!L15) + (VALORI!B$7 * 'SILI PASTA LUNGA'!M15)</f>
        <v>11966</v>
      </c>
      <c r="O15" s="13">
        <f t="shared" si="3"/>
        <v>14957.5</v>
      </c>
      <c r="P15" s="25">
        <v>21592.147499999999</v>
      </c>
      <c r="Q15" s="26">
        <f t="shared" si="2"/>
        <v>25910.576999999997</v>
      </c>
      <c r="R15" s="27" t="s">
        <v>213</v>
      </c>
      <c r="S15" s="28">
        <f t="shared" si="0"/>
        <v>33558.147499999999</v>
      </c>
      <c r="T15" s="28">
        <f t="shared" si="1"/>
        <v>40868.076999999997</v>
      </c>
      <c r="U15" s="35" t="s">
        <v>55</v>
      </c>
      <c r="V15" s="28">
        <f t="shared" si="4"/>
        <v>1295.5288499999999</v>
      </c>
      <c r="W15" s="28">
        <f t="shared" si="5"/>
        <v>4318.4295000000002</v>
      </c>
      <c r="X15" s="28">
        <v>7000</v>
      </c>
      <c r="Y15" s="28">
        <f t="shared" si="6"/>
        <v>11550</v>
      </c>
      <c r="Z15" s="28">
        <v>5000</v>
      </c>
    </row>
    <row r="16" spans="1:26" ht="20.25" customHeight="1" x14ac:dyDescent="0.35">
      <c r="A16" s="11"/>
      <c r="B16" s="19" t="s">
        <v>216</v>
      </c>
      <c r="C16" s="19" t="s">
        <v>212</v>
      </c>
      <c r="D16" s="19" t="s">
        <v>54</v>
      </c>
      <c r="E16" s="19" t="s">
        <v>54</v>
      </c>
      <c r="F16" s="19" t="s">
        <v>54</v>
      </c>
      <c r="G16" s="19" t="s">
        <v>54</v>
      </c>
      <c r="H16" s="3">
        <v>40</v>
      </c>
      <c r="I16" s="3">
        <v>30</v>
      </c>
      <c r="J16" s="3">
        <v>25</v>
      </c>
      <c r="K16" s="89">
        <v>220</v>
      </c>
      <c r="L16" s="3">
        <v>24</v>
      </c>
      <c r="M16" s="3">
        <v>50</v>
      </c>
      <c r="N16" s="9">
        <f>(VALORI!B$3 * 'SILI PASTA LUNGA'!H16) + (VALORI!B$4 * 'SILI PASTA LUNGA'!I16) + (VALORI!B$4 * 'SILI PASTA LUNGA'!J16) + (VALORI!B$5 * 'SILI PASTA LUNGA'!K16) + (VALORI!B$6 * 'SILI PASTA LUNGA'!L16) + (VALORI!B$7 * 'SILI PASTA LUNGA'!M16)</f>
        <v>12546</v>
      </c>
      <c r="O16" s="13">
        <f t="shared" si="3"/>
        <v>15682.5</v>
      </c>
      <c r="P16" s="25">
        <v>22246.455000000002</v>
      </c>
      <c r="Q16" s="26">
        <f t="shared" si="2"/>
        <v>26695.746000000003</v>
      </c>
      <c r="R16" s="27" t="s">
        <v>213</v>
      </c>
      <c r="S16" s="28">
        <f t="shared" si="0"/>
        <v>34792.455000000002</v>
      </c>
      <c r="T16" s="28">
        <f t="shared" si="1"/>
        <v>42378.245999999999</v>
      </c>
      <c r="U16" s="35" t="s">
        <v>55</v>
      </c>
      <c r="V16" s="28">
        <f t="shared" si="4"/>
        <v>1334.7873</v>
      </c>
      <c r="W16" s="28">
        <f t="shared" si="5"/>
        <v>4449.2910000000002</v>
      </c>
      <c r="X16" s="28">
        <v>7000</v>
      </c>
      <c r="Y16" s="28">
        <f t="shared" si="6"/>
        <v>11550</v>
      </c>
      <c r="Z16" s="28">
        <v>5000</v>
      </c>
    </row>
    <row r="17" spans="1:47" ht="20.25" customHeight="1" x14ac:dyDescent="0.35">
      <c r="A17" s="11"/>
      <c r="B17" s="19" t="s">
        <v>217</v>
      </c>
      <c r="C17" s="19" t="s">
        <v>212</v>
      </c>
      <c r="D17" s="19" t="s">
        <v>54</v>
      </c>
      <c r="E17" s="19"/>
      <c r="F17" s="19" t="s">
        <v>54</v>
      </c>
      <c r="G17" s="19" t="s">
        <v>54</v>
      </c>
      <c r="H17" s="3">
        <v>40</v>
      </c>
      <c r="I17" s="3">
        <v>30</v>
      </c>
      <c r="J17" s="3">
        <v>25</v>
      </c>
      <c r="K17" s="89">
        <v>220</v>
      </c>
      <c r="L17" s="3">
        <v>24</v>
      </c>
      <c r="M17" s="3">
        <v>50</v>
      </c>
      <c r="N17" s="9">
        <f>(VALORI!B$3 * 'SILI PASTA LUNGA'!H17) + (VALORI!B$4 * 'SILI PASTA LUNGA'!I17) + (VALORI!B$4 * 'SILI PASTA LUNGA'!J17) + (VALORI!B$5 * 'SILI PASTA LUNGA'!K17) + (VALORI!B$6 * 'SILI PASTA LUNGA'!L17) + (VALORI!B$7 * 'SILI PASTA LUNGA'!M17)</f>
        <v>12546</v>
      </c>
      <c r="O17" s="13">
        <f t="shared" si="3"/>
        <v>15682.5</v>
      </c>
      <c r="P17" s="25">
        <v>22900.762500000001</v>
      </c>
      <c r="Q17" s="26">
        <f t="shared" si="2"/>
        <v>27480.915000000001</v>
      </c>
      <c r="R17" s="27" t="s">
        <v>213</v>
      </c>
      <c r="S17" s="28">
        <f t="shared" si="0"/>
        <v>35446.762499999997</v>
      </c>
      <c r="T17" s="28">
        <f t="shared" si="1"/>
        <v>43163.415000000001</v>
      </c>
      <c r="U17" s="35" t="s">
        <v>55</v>
      </c>
      <c r="V17" s="28">
        <f t="shared" si="4"/>
        <v>1374.04575</v>
      </c>
      <c r="W17" s="28">
        <f t="shared" si="5"/>
        <v>4580.1525000000001</v>
      </c>
      <c r="X17" s="28">
        <v>7000</v>
      </c>
      <c r="Y17" s="28">
        <f t="shared" si="6"/>
        <v>11550</v>
      </c>
      <c r="Z17" s="28">
        <v>5000</v>
      </c>
    </row>
    <row r="18" spans="1:47" ht="20.25" customHeight="1" x14ac:dyDescent="0.35">
      <c r="A18" s="11"/>
      <c r="B18" s="19" t="s">
        <v>218</v>
      </c>
      <c r="C18" s="19" t="s">
        <v>212</v>
      </c>
      <c r="D18" s="19" t="s">
        <v>54</v>
      </c>
      <c r="E18" s="19"/>
      <c r="F18" s="19" t="s">
        <v>54</v>
      </c>
      <c r="G18" s="19" t="s">
        <v>54</v>
      </c>
      <c r="H18" s="3">
        <v>40</v>
      </c>
      <c r="I18" s="3">
        <v>30</v>
      </c>
      <c r="J18" s="3">
        <v>25</v>
      </c>
      <c r="K18" s="89">
        <v>220</v>
      </c>
      <c r="L18" s="3">
        <v>24</v>
      </c>
      <c r="M18" s="3">
        <v>50</v>
      </c>
      <c r="N18" s="9">
        <f>(VALORI!B$3 * 'SILI PASTA LUNGA'!H18) + (VALORI!B$4 * 'SILI PASTA LUNGA'!I18) + (VALORI!B$4 * 'SILI PASTA LUNGA'!J18) + (VALORI!B$5 * 'SILI PASTA LUNGA'!K18) + (VALORI!B$6 * 'SILI PASTA LUNGA'!L18) + (VALORI!B$7 * 'SILI PASTA LUNGA'!M18)</f>
        <v>12546</v>
      </c>
      <c r="O18" s="13">
        <f t="shared" ref="O18" si="13">(N18*25%)+N18</f>
        <v>15682.5</v>
      </c>
      <c r="P18" s="25">
        <v>23555.07</v>
      </c>
      <c r="Q18" s="26">
        <f t="shared" si="2"/>
        <v>28266.083999999999</v>
      </c>
      <c r="R18" s="27" t="s">
        <v>213</v>
      </c>
      <c r="S18" s="28">
        <f t="shared" si="0"/>
        <v>36101.07</v>
      </c>
      <c r="T18" s="28">
        <f t="shared" si="1"/>
        <v>43948.584000000003</v>
      </c>
      <c r="U18" s="35" t="s">
        <v>55</v>
      </c>
      <c r="V18" s="28">
        <f t="shared" si="4"/>
        <v>1413.3042</v>
      </c>
      <c r="W18" s="28">
        <f t="shared" si="5"/>
        <v>4711.0140000000001</v>
      </c>
      <c r="X18" s="28">
        <v>7000</v>
      </c>
      <c r="Y18" s="28">
        <f t="shared" si="6"/>
        <v>11550</v>
      </c>
      <c r="Z18" s="28">
        <v>5000</v>
      </c>
    </row>
    <row r="19" spans="1:47" ht="20.25" customHeight="1" x14ac:dyDescent="0.35">
      <c r="A19" s="11"/>
      <c r="B19" s="19" t="s">
        <v>219</v>
      </c>
      <c r="C19" s="19" t="s">
        <v>212</v>
      </c>
      <c r="D19" s="19" t="s">
        <v>54</v>
      </c>
      <c r="E19" s="19"/>
      <c r="F19" s="19" t="s">
        <v>54</v>
      </c>
      <c r="G19" s="19" t="s">
        <v>54</v>
      </c>
      <c r="H19" s="3">
        <v>40</v>
      </c>
      <c r="I19" s="3">
        <v>30</v>
      </c>
      <c r="J19" s="3">
        <v>25</v>
      </c>
      <c r="K19" s="89">
        <v>220</v>
      </c>
      <c r="L19" s="3">
        <v>24</v>
      </c>
      <c r="M19" s="3">
        <v>50</v>
      </c>
      <c r="N19" s="9">
        <f>(VALORI!B$3 * 'SILI PASTA LUNGA'!H19) + (VALORI!B$4 * 'SILI PASTA LUNGA'!I19) + (VALORI!B$4 * 'SILI PASTA LUNGA'!J19) + (VALORI!B$5 * 'SILI PASTA LUNGA'!K19) + (VALORI!B$6 * 'SILI PASTA LUNGA'!L19) + (VALORI!B$7 * 'SILI PASTA LUNGA'!M19)</f>
        <v>12546</v>
      </c>
      <c r="O19" s="13">
        <f t="shared" ref="O19" si="14">(N19*25%)+N19</f>
        <v>15682.5</v>
      </c>
      <c r="P19" s="25">
        <v>24209.377499999999</v>
      </c>
      <c r="Q19" s="26">
        <f t="shared" si="2"/>
        <v>29051.252999999997</v>
      </c>
      <c r="R19" s="27" t="s">
        <v>213</v>
      </c>
      <c r="S19" s="28">
        <f t="shared" si="0"/>
        <v>36755.377500000002</v>
      </c>
      <c r="T19" s="28">
        <f t="shared" si="1"/>
        <v>44733.752999999997</v>
      </c>
      <c r="U19" s="35" t="s">
        <v>55</v>
      </c>
      <c r="V19" s="28">
        <f t="shared" si="4"/>
        <v>1452.5626499999998</v>
      </c>
      <c r="W19" s="28">
        <f t="shared" si="5"/>
        <v>4841.8755000000001</v>
      </c>
      <c r="X19" s="28">
        <v>7000</v>
      </c>
      <c r="Y19" s="28">
        <f t="shared" si="6"/>
        <v>11550</v>
      </c>
      <c r="Z19" s="28">
        <v>5000</v>
      </c>
    </row>
    <row r="20" spans="1:47" ht="20.25" customHeight="1" x14ac:dyDescent="0.35">
      <c r="A20" s="11"/>
      <c r="B20" s="19" t="s">
        <v>220</v>
      </c>
      <c r="C20" s="19" t="s">
        <v>212</v>
      </c>
      <c r="D20" s="19" t="s">
        <v>54</v>
      </c>
      <c r="E20" s="19"/>
      <c r="F20" s="19" t="s">
        <v>54</v>
      </c>
      <c r="G20" s="19" t="s">
        <v>54</v>
      </c>
      <c r="H20" s="3">
        <v>40</v>
      </c>
      <c r="I20" s="3">
        <v>30</v>
      </c>
      <c r="J20" s="3">
        <v>25</v>
      </c>
      <c r="K20" s="89">
        <v>220</v>
      </c>
      <c r="L20" s="3">
        <v>24</v>
      </c>
      <c r="M20" s="3">
        <v>50</v>
      </c>
      <c r="N20" s="9">
        <f>(VALORI!B$3 * 'SILI PASTA LUNGA'!H20) + (VALORI!B$4 * 'SILI PASTA LUNGA'!I20) + (VALORI!B$4 * 'SILI PASTA LUNGA'!J20) + (VALORI!B$5 * 'SILI PASTA LUNGA'!K20) + (VALORI!B$6 * 'SILI PASTA LUNGA'!L20) + (VALORI!B$7 * 'SILI PASTA LUNGA'!M20)</f>
        <v>12546</v>
      </c>
      <c r="O20" s="13">
        <f t="shared" ref="O20" si="15">(N20*25%)+N20</f>
        <v>15682.5</v>
      </c>
      <c r="P20" s="25">
        <v>25256.269500000002</v>
      </c>
      <c r="Q20" s="26">
        <f t="shared" si="2"/>
        <v>30307.523400000002</v>
      </c>
      <c r="R20" s="27" t="s">
        <v>213</v>
      </c>
      <c r="S20" s="28">
        <f t="shared" si="0"/>
        <v>37802.269500000002</v>
      </c>
      <c r="T20" s="28">
        <f t="shared" si="1"/>
        <v>45990.023400000005</v>
      </c>
      <c r="U20" s="35" t="s">
        <v>55</v>
      </c>
      <c r="V20" s="28">
        <f t="shared" si="4"/>
        <v>1515.37617</v>
      </c>
      <c r="W20" s="28">
        <f t="shared" si="5"/>
        <v>5051.2539000000006</v>
      </c>
      <c r="X20" s="28">
        <v>7000</v>
      </c>
      <c r="Y20" s="28">
        <f t="shared" si="6"/>
        <v>11550</v>
      </c>
      <c r="Z20" s="28">
        <v>5000</v>
      </c>
    </row>
    <row r="22" spans="1:47" ht="15.75" x14ac:dyDescent="0.25">
      <c r="A22"/>
      <c r="B22"/>
      <c r="C22"/>
      <c r="D22"/>
      <c r="E22"/>
      <c r="F22"/>
      <c r="G22"/>
      <c r="H22"/>
      <c r="AP22" s="49"/>
      <c r="AU22" s="49"/>
    </row>
    <row r="23" spans="1:47" ht="15.75" x14ac:dyDescent="0.25">
      <c r="A23"/>
      <c r="B23"/>
      <c r="C23"/>
      <c r="D23"/>
      <c r="E23"/>
      <c r="F23"/>
      <c r="G23"/>
      <c r="H23"/>
      <c r="AP23" s="49"/>
      <c r="AU23" s="49"/>
    </row>
    <row r="24" spans="1:47" ht="15.75" x14ac:dyDescent="0.25">
      <c r="A24"/>
      <c r="B24"/>
      <c r="C24"/>
      <c r="D24"/>
      <c r="E24"/>
      <c r="F24"/>
      <c r="G24"/>
      <c r="H24"/>
      <c r="AP24" s="49"/>
      <c r="AU24" s="49"/>
    </row>
    <row r="25" spans="1:47" ht="15.75" x14ac:dyDescent="0.25">
      <c r="A25"/>
      <c r="B25"/>
      <c r="C25"/>
      <c r="D25"/>
      <c r="E25"/>
      <c r="F25"/>
      <c r="G25"/>
      <c r="H25"/>
      <c r="AP25" s="49"/>
      <c r="AU25" s="49"/>
    </row>
    <row r="26" spans="1:47" ht="15.75" x14ac:dyDescent="0.25">
      <c r="A26"/>
      <c r="B26"/>
      <c r="C26"/>
      <c r="D26"/>
      <c r="E26"/>
      <c r="F26"/>
      <c r="G26"/>
      <c r="H26"/>
      <c r="AP26" s="49"/>
      <c r="AU26" s="49"/>
    </row>
    <row r="27" spans="1:47" ht="15.75" x14ac:dyDescent="0.25">
      <c r="A27"/>
      <c r="B27"/>
      <c r="C27"/>
      <c r="D27"/>
      <c r="E27"/>
      <c r="F27"/>
      <c r="G27"/>
      <c r="H27"/>
      <c r="AP27" s="49"/>
      <c r="AU27" s="49"/>
    </row>
    <row r="28" spans="1:47" ht="15.75" x14ac:dyDescent="0.25">
      <c r="A28"/>
      <c r="B28"/>
      <c r="C28"/>
      <c r="D28"/>
      <c r="E28"/>
      <c r="F28"/>
      <c r="G28"/>
      <c r="H28"/>
      <c r="AP28" s="49"/>
      <c r="AU28" s="49"/>
    </row>
    <row r="29" spans="1:47" ht="15.75" x14ac:dyDescent="0.25">
      <c r="A29"/>
      <c r="B29"/>
      <c r="C29"/>
      <c r="D29"/>
      <c r="E29"/>
      <c r="F29"/>
      <c r="G29"/>
      <c r="H29"/>
      <c r="AP29" s="49"/>
      <c r="AU29" s="49"/>
    </row>
    <row r="30" spans="1:47" ht="15.75" customHeight="1" x14ac:dyDescent="0.25">
      <c r="N30" s="218" t="s">
        <v>115</v>
      </c>
      <c r="O30" s="219"/>
      <c r="P30" s="28" t="s">
        <v>116</v>
      </c>
      <c r="Q30" s="28" t="s">
        <v>63</v>
      </c>
      <c r="R30" s="5"/>
      <c r="S30" s="28"/>
      <c r="T30" s="28"/>
      <c r="U30" s="28"/>
      <c r="V30" s="53">
        <v>0</v>
      </c>
      <c r="W30" s="53">
        <v>0</v>
      </c>
      <c r="X30" s="53">
        <v>0</v>
      </c>
      <c r="Y30" s="53">
        <v>0</v>
      </c>
      <c r="Z30" s="53">
        <v>0</v>
      </c>
    </row>
    <row r="31" spans="1:47" ht="15.75" customHeight="1" x14ac:dyDescent="0.25">
      <c r="N31" s="220"/>
      <c r="O31" s="221"/>
      <c r="P31" s="28" t="s">
        <v>117</v>
      </c>
      <c r="Q31" s="28" t="s">
        <v>63</v>
      </c>
      <c r="R31" s="5"/>
      <c r="S31" s="28"/>
      <c r="T31" s="28"/>
      <c r="U31" s="28"/>
      <c r="V31" s="53">
        <v>0</v>
      </c>
      <c r="W31" s="53">
        <v>0</v>
      </c>
      <c r="X31" s="53">
        <v>0</v>
      </c>
      <c r="Y31" s="53">
        <v>0</v>
      </c>
      <c r="Z31" s="53">
        <v>0</v>
      </c>
    </row>
    <row r="32" spans="1:47" ht="15.75" customHeight="1" x14ac:dyDescent="0.25">
      <c r="N32" s="220"/>
      <c r="O32" s="221"/>
      <c r="P32" s="28" t="s">
        <v>118</v>
      </c>
      <c r="Q32" s="53">
        <v>15</v>
      </c>
      <c r="R32" s="5"/>
      <c r="S32" s="28"/>
      <c r="T32" s="28"/>
      <c r="U32" s="28"/>
      <c r="V32" s="53">
        <v>10</v>
      </c>
      <c r="W32" s="53">
        <v>30</v>
      </c>
      <c r="X32" s="53">
        <v>8</v>
      </c>
      <c r="Y32" s="53">
        <v>8</v>
      </c>
      <c r="Z32" s="53">
        <v>15</v>
      </c>
    </row>
    <row r="33" spans="14:45" ht="15.75" customHeight="1" x14ac:dyDescent="0.25">
      <c r="N33" s="222"/>
      <c r="O33" s="223"/>
      <c r="P33" s="28" t="s">
        <v>119</v>
      </c>
      <c r="Q33" s="53">
        <v>45</v>
      </c>
      <c r="R33" s="5"/>
      <c r="S33" s="28"/>
      <c r="T33" s="28"/>
      <c r="U33" s="28"/>
      <c r="V33" s="53">
        <v>30</v>
      </c>
      <c r="W33" s="53">
        <v>90</v>
      </c>
      <c r="X33" s="53">
        <v>24</v>
      </c>
      <c r="Y33" s="53">
        <v>24</v>
      </c>
      <c r="Z33" s="53">
        <v>3</v>
      </c>
    </row>
    <row r="37" spans="14:45" ht="77.25" customHeight="1" x14ac:dyDescent="0.25">
      <c r="N37" s="85">
        <v>44731</v>
      </c>
      <c r="O37" t="s">
        <v>303</v>
      </c>
      <c r="P37" s="85" t="s">
        <v>344</v>
      </c>
      <c r="Q37" s="85" t="s">
        <v>348</v>
      </c>
      <c r="V37" s="94" t="s">
        <v>339</v>
      </c>
      <c r="W37" s="94" t="s">
        <v>339</v>
      </c>
      <c r="X37" s="94" t="s">
        <v>339</v>
      </c>
      <c r="Y37" s="94" t="s">
        <v>339</v>
      </c>
      <c r="Z37" s="94" t="s">
        <v>339</v>
      </c>
      <c r="AA37" s="94" t="s">
        <v>339</v>
      </c>
      <c r="AB37" s="94" t="s">
        <v>339</v>
      </c>
      <c r="AC37" s="94" t="s">
        <v>339</v>
      </c>
      <c r="AD37" s="94" t="s">
        <v>339</v>
      </c>
      <c r="AE37" s="94" t="s">
        <v>339</v>
      </c>
      <c r="AF37" s="94" t="s">
        <v>339</v>
      </c>
      <c r="AG37" s="94" t="s">
        <v>339</v>
      </c>
      <c r="AH37" s="94" t="s">
        <v>339</v>
      </c>
      <c r="AI37" s="94" t="s">
        <v>339</v>
      </c>
      <c r="AJ37" s="94" t="s">
        <v>339</v>
      </c>
      <c r="AK37" s="94" t="s">
        <v>339</v>
      </c>
      <c r="AL37" s="94" t="s">
        <v>339</v>
      </c>
      <c r="AM37" s="94" t="s">
        <v>339</v>
      </c>
      <c r="AN37" s="94" t="s">
        <v>339</v>
      </c>
      <c r="AP37" s="94" t="s">
        <v>339</v>
      </c>
      <c r="AQ37" s="94" t="s">
        <v>339</v>
      </c>
      <c r="AR37" s="94" t="s">
        <v>339</v>
      </c>
      <c r="AS37" s="94" t="s">
        <v>339</v>
      </c>
    </row>
    <row r="38" spans="14:45" ht="15.75" x14ac:dyDescent="0.25">
      <c r="N38" s="25">
        <v>8400</v>
      </c>
      <c r="O38" s="25">
        <f>(N38*10%)+N38</f>
        <v>9240</v>
      </c>
      <c r="P38" s="25">
        <f>(O38*10%)+O38</f>
        <v>10164</v>
      </c>
      <c r="Q38" s="25">
        <f>(P38*3%)+P38</f>
        <v>10468.92</v>
      </c>
      <c r="V38" s="28">
        <f>IF(V3&gt;0, V3-(V$30*VALORI!$B$4)-(V$31*VALORI!$B$4)-(V$32*VALORI!$B$3)-(V$33*VALORI!$B$5),0)</f>
        <v>-611.86480000000006</v>
      </c>
      <c r="W38" s="28">
        <f>IF(W3&gt;0, W3-(W$30*VALORI!$B$4)-(W$31*VALORI!$B$4)-(W$32*VALORI!$B$3)-(W$33*VALORI!$B$5),0)</f>
        <v>-1626.2159999999999</v>
      </c>
      <c r="X38" s="28">
        <f>IF(X3&gt;0, X3-(X$30*VALORI!$B$4)-(X$31*VALORI!$B$4)-(X$32*VALORI!$B$3)-(X$33*VALORI!$B$5),0)</f>
        <v>0</v>
      </c>
      <c r="Y38" s="28">
        <f>IF(Y3&gt;0, Y3-(Y$30*VALORI!$B$4)-(Y$31*VALORI!$B$4)-(Y$32*VALORI!$B$3)-(Y$33*VALORI!$B$5),0)</f>
        <v>0</v>
      </c>
      <c r="Z38" s="28">
        <f>IF(Z3&gt;0, Z3-(Z$30*VALORI!$B$4)-(Z$31*VALORI!$B$4)-(Z$32*VALORI!$B$3)-(Z$33*VALORI!$B$5),0)</f>
        <v>0</v>
      </c>
      <c r="AA38" s="28">
        <f>IF(AA3&gt;0, AA3-(AA$30*VALORI!$B$4)-(AA$31*VALORI!$B$4)-(AA$32*VALORI!$B$3)-(AA$33*VALORI!$B$5),0)</f>
        <v>0</v>
      </c>
      <c r="AB38" s="28">
        <f>IF(AB3&gt;0, AB3-(AB$30*VALORI!$B$4)-(AB$31*VALORI!$B$4)-(AB$32*VALORI!$B$3)-(AB$33*VALORI!$B$5),0)</f>
        <v>0</v>
      </c>
      <c r="AC38" s="28">
        <f>IF(AC3&gt;0, AC3-(AC$30*VALORI!$B$4)-(AC$31*VALORI!$B$4)-(AC$32*VALORI!$B$3)-(AC$33*VALORI!$B$5),0)</f>
        <v>0</v>
      </c>
      <c r="AD38" s="28">
        <f>IF(AD3&gt;0, AD3-(AD$30*VALORI!$B$4)-(AD$31*VALORI!$B$4)-(AD$32*VALORI!$B$3)-(AD$33*VALORI!$B$5),0)</f>
        <v>0</v>
      </c>
      <c r="AE38" s="28">
        <f>IF(AE3&gt;0, AE3-(AE$30*VALORI!$B$4)-(AE$31*VALORI!$B$4)-(AE$32*VALORI!$B$3)-(AE$33*VALORI!$B$5),0)</f>
        <v>0</v>
      </c>
      <c r="AF38" s="28">
        <f>IF(AF3&gt;0, AF3-(AF$30*VALORI!$B$4)-(AF$31*VALORI!$B$4)-(AF$32*VALORI!$B$3)-(AF$33*VALORI!$B$5),0)</f>
        <v>0</v>
      </c>
      <c r="AG38" s="28">
        <f>IF(AG3&gt;0, AG3-(AG$30*VALORI!$B$4)-(AG$31*VALORI!$B$4)-(AG$32*VALORI!$B$3)-(AG$33*VALORI!$B$5),0)</f>
        <v>0</v>
      </c>
      <c r="AH38" s="28">
        <f>IF(AH3&gt;0, AH3-(AH$30*VALORI!$B$4)-(AH$31*VALORI!$B$4)-(AH$32*VALORI!$B$3)-(AH$33*VALORI!$B$5),0)</f>
        <v>0</v>
      </c>
      <c r="AI38" s="28">
        <f>IF(AI3&gt;0, AI3-(AI$30*VALORI!$B$4)-(AI$31*VALORI!$B$4)-(AI$32*VALORI!$B$3)-(AI$33*VALORI!$B$5),0)</f>
        <v>0</v>
      </c>
      <c r="AJ38" s="28">
        <f>IF(AJ3&gt;0, AJ3-(AJ$30*VALORI!$B$4)-(AJ$31*VALORI!$B$4)-(AJ$32*VALORI!$B$3)-(AJ$33*VALORI!$B$5),0)</f>
        <v>0</v>
      </c>
      <c r="AK38" s="28">
        <f>IF(AK3&gt;0, AK3-(AK$30*VALORI!$B$4)-(AK$31*VALORI!$B$4)-(AK$32*VALORI!$B$3)-(AK$33*VALORI!$B$5),0)</f>
        <v>0</v>
      </c>
      <c r="AL38" s="28">
        <f>IF(AL3&gt;0, AL3-(AL$30*VALORI!$B$4)-(AL$31*VALORI!$B$4)-(AL$32*VALORI!$B$3)-(AL$33*VALORI!$B$5),0)</f>
        <v>0</v>
      </c>
      <c r="AM38" s="28">
        <f>IF(AM3&gt;0, AM3-(AM$30*VALORI!$B$4)-(AM$31*VALORI!$B$4)-(AM$32*VALORI!$B$3)-(AM$33*VALORI!$B$5),0)</f>
        <v>0</v>
      </c>
      <c r="AN38" s="28">
        <f>IF(AN3&gt;0, AN3-(AN$30*VALORI!$B$4)-(AN$31*VALORI!$B$4)-(AN$32*VALORI!$B$3)-(AN$33*VALORI!$B$5),0)</f>
        <v>0</v>
      </c>
      <c r="AP38" s="28">
        <f>IF(AP3&gt;0, AP3-(AP$30*VALORI!$B$4)-(AP$31*VALORI!$B$4)-(AP$32*VALORI!$B$3)-(AP$33*VALORI!$B$5),0)</f>
        <v>0</v>
      </c>
      <c r="AQ38" s="28">
        <f>IF(AQ3&gt;0, AQ3-(AQ$30*VALORI!$B$4)-(AQ$31*VALORI!$B$4)-(AQ$32*VALORI!$B$3)-(AQ$33*VALORI!$B$5),0)</f>
        <v>0</v>
      </c>
      <c r="AR38" s="28">
        <f>IF(AR3&gt;0, AR3-(AR$30*VALORI!$B$4)-(AR$31*VALORI!$B$4)-(AR$32*VALORI!$B$3)-(AR$33*VALORI!$B$5),0)</f>
        <v>0</v>
      </c>
      <c r="AS38" s="28">
        <f>IF(AS3&gt;0, AS3-(AS$30*VALORI!$B$4)-(AS$31*VALORI!$B$4)-(AS$32*VALORI!$B$3)-(AS$33*VALORI!$B$5),0)</f>
        <v>0</v>
      </c>
    </row>
    <row r="39" spans="14:45" ht="15.75" x14ac:dyDescent="0.25">
      <c r="N39" s="25">
        <v>8400</v>
      </c>
      <c r="O39" s="25">
        <f>(N39*10%)+N39</f>
        <v>9240</v>
      </c>
      <c r="P39" s="25">
        <f t="shared" ref="P39:P55" si="16">(O39*10%)+O39</f>
        <v>10164</v>
      </c>
      <c r="Q39" s="25">
        <f t="shared" ref="Q39:Q55" si="17">(P39*3%)+P39</f>
        <v>10468.92</v>
      </c>
      <c r="V39" s="28">
        <f>IF(V4&gt;0, V4-(V$30*VALORI!$B$4)-(V$31*VALORI!$B$4)-(V$32*VALORI!$B$3)-(V$33*VALORI!$B$5),0)</f>
        <v>-611.86480000000006</v>
      </c>
      <c r="W39" s="28">
        <f>IF(W4&gt;0, W4-(W$30*VALORI!$B$4)-(W$31*VALORI!$B$4)-(W$32*VALORI!$B$3)-(W$33*VALORI!$B$5),0)</f>
        <v>-1626.2159999999999</v>
      </c>
      <c r="X39" s="28">
        <f>IF(X4&gt;0, X4-(X$30*VALORI!$B$4)-(X$31*VALORI!$B$4)-(X$32*VALORI!$B$3)-(X$33*VALORI!$B$5),0)</f>
        <v>0</v>
      </c>
      <c r="Y39" s="28">
        <f>IF(Y4&gt;0, Y4-(Y$30*VALORI!$B$4)-(Y$31*VALORI!$B$4)-(Y$32*VALORI!$B$3)-(Y$33*VALORI!$B$5),0)</f>
        <v>0</v>
      </c>
      <c r="Z39" s="28">
        <f>IF(Z4&gt;0, Z4-(Z$30*VALORI!$B$4)-(Z$31*VALORI!$B$4)-(Z$32*VALORI!$B$3)-(Z$33*VALORI!$B$5),0)</f>
        <v>0</v>
      </c>
      <c r="AA39" s="28">
        <f>IF(AA4&gt;0, AA4-(AA$30*VALORI!$B$4)-(AA$31*VALORI!$B$4)-(AA$32*VALORI!$B$3)-(AA$33*VALORI!$B$5),0)</f>
        <v>0</v>
      </c>
      <c r="AB39" s="28">
        <f>IF(AB4&gt;0, AB4-(AB$30*VALORI!$B$4)-(AB$31*VALORI!$B$4)-(AB$32*VALORI!$B$3)-(AB$33*VALORI!$B$5),0)</f>
        <v>0</v>
      </c>
      <c r="AC39" s="28">
        <f>IF(AC4&gt;0, AC4-(AC$30*VALORI!$B$4)-(AC$31*VALORI!$B$4)-(AC$32*VALORI!$B$3)-(AC$33*VALORI!$B$5),0)</f>
        <v>0</v>
      </c>
      <c r="AD39" s="28">
        <f>IF(AD4&gt;0, AD4-(AD$30*VALORI!$B$4)-(AD$31*VALORI!$B$4)-(AD$32*VALORI!$B$3)-(AD$33*VALORI!$B$5),0)</f>
        <v>0</v>
      </c>
      <c r="AE39" s="28">
        <f>IF(AE4&gt;0, AE4-(AE$30*VALORI!$B$4)-(AE$31*VALORI!$B$4)-(AE$32*VALORI!$B$3)-(AE$33*VALORI!$B$5),0)</f>
        <v>0</v>
      </c>
      <c r="AF39" s="28">
        <f>IF(AF4&gt;0, AF4-(AF$30*VALORI!$B$4)-(AF$31*VALORI!$B$4)-(AF$32*VALORI!$B$3)-(AF$33*VALORI!$B$5),0)</f>
        <v>0</v>
      </c>
      <c r="AG39" s="28">
        <f>IF(AG4&gt;0, AG4-(AG$30*VALORI!$B$4)-(AG$31*VALORI!$B$4)-(AG$32*VALORI!$B$3)-(AG$33*VALORI!$B$5),0)</f>
        <v>0</v>
      </c>
      <c r="AH39" s="28">
        <f>IF(AH4&gt;0, AH4-(AH$30*VALORI!$B$4)-(AH$31*VALORI!$B$4)-(AH$32*VALORI!$B$3)-(AH$33*VALORI!$B$5),0)</f>
        <v>0</v>
      </c>
      <c r="AI39" s="28">
        <f>IF(AI4&gt;0, AI4-(AI$30*VALORI!$B$4)-(AI$31*VALORI!$B$4)-(AI$32*VALORI!$B$3)-(AI$33*VALORI!$B$5),0)</f>
        <v>0</v>
      </c>
      <c r="AJ39" s="28">
        <f>IF(AJ4&gt;0, AJ4-(AJ$30*VALORI!$B$4)-(AJ$31*VALORI!$B$4)-(AJ$32*VALORI!$B$3)-(AJ$33*VALORI!$B$5),0)</f>
        <v>0</v>
      </c>
      <c r="AK39" s="28">
        <f>IF(AK4&gt;0, AK4-(AK$30*VALORI!$B$4)-(AK$31*VALORI!$B$4)-(AK$32*VALORI!$B$3)-(AK$33*VALORI!$B$5),0)</f>
        <v>0</v>
      </c>
      <c r="AL39" s="28">
        <f>IF(AL4&gt;0, AL4-(AL$30*VALORI!$B$4)-(AL$31*VALORI!$B$4)-(AL$32*VALORI!$B$3)-(AL$33*VALORI!$B$5),0)</f>
        <v>0</v>
      </c>
      <c r="AM39" s="28">
        <f>IF(AM4&gt;0, AM4-(AM$30*VALORI!$B$4)-(AM$31*VALORI!$B$4)-(AM$32*VALORI!$B$3)-(AM$33*VALORI!$B$5),0)</f>
        <v>0</v>
      </c>
      <c r="AN39" s="28">
        <f>IF(AN4&gt;0, AN4-(AN$30*VALORI!$B$4)-(AN$31*VALORI!$B$4)-(AN$32*VALORI!$B$3)-(AN$33*VALORI!$B$5),0)</f>
        <v>0</v>
      </c>
      <c r="AP39" s="28">
        <f>IF(AP4&gt;0, AP4-(AP$30*VALORI!$B$4)-(AP$31*VALORI!$B$4)-(AP$32*VALORI!$B$3)-(AP$33*VALORI!$B$5),0)</f>
        <v>0</v>
      </c>
      <c r="AQ39" s="28">
        <f>IF(AQ4&gt;0, AQ4-(AQ$30*VALORI!$B$4)-(AQ$31*VALORI!$B$4)-(AQ$32*VALORI!$B$3)-(AQ$33*VALORI!$B$5),0)</f>
        <v>0</v>
      </c>
      <c r="AR39" s="28">
        <f>IF(AR4&gt;0, AR4-(AR$30*VALORI!$B$4)-(AR$31*VALORI!$B$4)-(AR$32*VALORI!$B$3)-(AR$33*VALORI!$B$5),0)</f>
        <v>0</v>
      </c>
      <c r="AS39" s="28">
        <f>IF(AS4&gt;0, AS4-(AS$30*VALORI!$B$4)-(AS$31*VALORI!$B$4)-(AS$32*VALORI!$B$3)-(AS$33*VALORI!$B$5),0)</f>
        <v>0</v>
      </c>
    </row>
    <row r="40" spans="14:45" ht="15.75" x14ac:dyDescent="0.25">
      <c r="N40" s="25">
        <v>8400</v>
      </c>
      <c r="O40" s="25">
        <f t="shared" ref="O40:O55" si="18">(N40*10%)+N40</f>
        <v>9240</v>
      </c>
      <c r="P40" s="25">
        <f t="shared" si="16"/>
        <v>10164</v>
      </c>
      <c r="Q40" s="25">
        <f t="shared" si="17"/>
        <v>10468.92</v>
      </c>
      <c r="V40" s="28">
        <f>IF(V5&gt;0, V5-(V$30*VALORI!$B$4)-(V$31*VALORI!$B$4)-(V$32*VALORI!$B$3)-(V$33*VALORI!$B$5),0)</f>
        <v>-611.86480000000006</v>
      </c>
      <c r="W40" s="28">
        <f>IF(W5&gt;0, W5-(W$30*VALORI!$B$4)-(W$31*VALORI!$B$4)-(W$32*VALORI!$B$3)-(W$33*VALORI!$B$5),0)</f>
        <v>-1626.2159999999999</v>
      </c>
      <c r="X40" s="28">
        <f>IF(X5&gt;0, X5-(X$30*VALORI!$B$4)-(X$31*VALORI!$B$4)-(X$32*VALORI!$B$3)-(X$33*VALORI!$B$5),0)</f>
        <v>0</v>
      </c>
      <c r="Y40" s="28">
        <f>IF(Y5&gt;0, Y5-(Y$30*VALORI!$B$4)-(Y$31*VALORI!$B$4)-(Y$32*VALORI!$B$3)-(Y$33*VALORI!$B$5),0)</f>
        <v>0</v>
      </c>
      <c r="Z40" s="28">
        <f>IF(Z5&gt;0, Z5-(Z$30*VALORI!$B$4)-(Z$31*VALORI!$B$4)-(Z$32*VALORI!$B$3)-(Z$33*VALORI!$B$5),0)</f>
        <v>0</v>
      </c>
      <c r="AA40" s="28">
        <f>IF(AA5&gt;0, AA5-(AA$30*VALORI!$B$4)-(AA$31*VALORI!$B$4)-(AA$32*VALORI!$B$3)-(AA$33*VALORI!$B$5),0)</f>
        <v>0</v>
      </c>
      <c r="AB40" s="28">
        <f>IF(AB5&gt;0, AB5-(AB$30*VALORI!$B$4)-(AB$31*VALORI!$B$4)-(AB$32*VALORI!$B$3)-(AB$33*VALORI!$B$5),0)</f>
        <v>0</v>
      </c>
      <c r="AC40" s="28">
        <f>IF(AC5&gt;0, AC5-(AC$30*VALORI!$B$4)-(AC$31*VALORI!$B$4)-(AC$32*VALORI!$B$3)-(AC$33*VALORI!$B$5),0)</f>
        <v>0</v>
      </c>
      <c r="AD40" s="28">
        <f>IF(AD5&gt;0, AD5-(AD$30*VALORI!$B$4)-(AD$31*VALORI!$B$4)-(AD$32*VALORI!$B$3)-(AD$33*VALORI!$B$5),0)</f>
        <v>0</v>
      </c>
      <c r="AE40" s="28">
        <f>IF(AE5&gt;0, AE5-(AE$30*VALORI!$B$4)-(AE$31*VALORI!$B$4)-(AE$32*VALORI!$B$3)-(AE$33*VALORI!$B$5),0)</f>
        <v>0</v>
      </c>
      <c r="AF40" s="28">
        <f>IF(AF5&gt;0, AF5-(AF$30*VALORI!$B$4)-(AF$31*VALORI!$B$4)-(AF$32*VALORI!$B$3)-(AF$33*VALORI!$B$5),0)</f>
        <v>0</v>
      </c>
      <c r="AG40" s="28">
        <f>IF(AG5&gt;0, AG5-(AG$30*VALORI!$B$4)-(AG$31*VALORI!$B$4)-(AG$32*VALORI!$B$3)-(AG$33*VALORI!$B$5),0)</f>
        <v>0</v>
      </c>
      <c r="AH40" s="28">
        <f>IF(AH5&gt;0, AH5-(AH$30*VALORI!$B$4)-(AH$31*VALORI!$B$4)-(AH$32*VALORI!$B$3)-(AH$33*VALORI!$B$5),0)</f>
        <v>0</v>
      </c>
      <c r="AI40" s="28">
        <f>IF(AI5&gt;0, AI5-(AI$30*VALORI!$B$4)-(AI$31*VALORI!$B$4)-(AI$32*VALORI!$B$3)-(AI$33*VALORI!$B$5),0)</f>
        <v>0</v>
      </c>
      <c r="AJ40" s="28">
        <f>IF(AJ5&gt;0, AJ5-(AJ$30*VALORI!$B$4)-(AJ$31*VALORI!$B$4)-(AJ$32*VALORI!$B$3)-(AJ$33*VALORI!$B$5),0)</f>
        <v>0</v>
      </c>
      <c r="AK40" s="28">
        <f>IF(AK5&gt;0, AK5-(AK$30*VALORI!$B$4)-(AK$31*VALORI!$B$4)-(AK$32*VALORI!$B$3)-(AK$33*VALORI!$B$5),0)</f>
        <v>0</v>
      </c>
      <c r="AL40" s="28">
        <f>IF(AL5&gt;0, AL5-(AL$30*VALORI!$B$4)-(AL$31*VALORI!$B$4)-(AL$32*VALORI!$B$3)-(AL$33*VALORI!$B$5),0)</f>
        <v>0</v>
      </c>
      <c r="AM40" s="28">
        <f>IF(AM5&gt;0, AM5-(AM$30*VALORI!$B$4)-(AM$31*VALORI!$B$4)-(AM$32*VALORI!$B$3)-(AM$33*VALORI!$B$5),0)</f>
        <v>0</v>
      </c>
      <c r="AN40" s="28">
        <f>IF(AN5&gt;0, AN5-(AN$30*VALORI!$B$4)-(AN$31*VALORI!$B$4)-(AN$32*VALORI!$B$3)-(AN$33*VALORI!$B$5),0)</f>
        <v>0</v>
      </c>
      <c r="AP40" s="28">
        <f>IF(AP5&gt;0, AP5-(AP$30*VALORI!$B$4)-(AP$31*VALORI!$B$4)-(AP$32*VALORI!$B$3)-(AP$33*VALORI!$B$5),0)</f>
        <v>0</v>
      </c>
      <c r="AQ40" s="28">
        <f>IF(AQ5&gt;0, AQ5-(AQ$30*VALORI!$B$4)-(AQ$31*VALORI!$B$4)-(AQ$32*VALORI!$B$3)-(AQ$33*VALORI!$B$5),0)</f>
        <v>0</v>
      </c>
      <c r="AR40" s="28">
        <f>IF(AR5&gt;0, AR5-(AR$30*VALORI!$B$4)-(AR$31*VALORI!$B$4)-(AR$32*VALORI!$B$3)-(AR$33*VALORI!$B$5),0)</f>
        <v>0</v>
      </c>
      <c r="AS40" s="28">
        <f>IF(AS5&gt;0, AS5-(AS$30*VALORI!$B$4)-(AS$31*VALORI!$B$4)-(AS$32*VALORI!$B$3)-(AS$33*VALORI!$B$5),0)</f>
        <v>0</v>
      </c>
    </row>
    <row r="41" spans="14:45" ht="15.75" x14ac:dyDescent="0.25">
      <c r="N41" s="25">
        <v>12915</v>
      </c>
      <c r="O41" s="25">
        <f t="shared" si="18"/>
        <v>14206.5</v>
      </c>
      <c r="P41" s="25">
        <f t="shared" si="16"/>
        <v>15627.15</v>
      </c>
      <c r="Q41" s="25">
        <f t="shared" si="17"/>
        <v>16095.9645</v>
      </c>
      <c r="V41" s="28">
        <f>IF(V6&gt;0, V6-(V$30*VALORI!$B$4)-(V$31*VALORI!$B$4)-(V$32*VALORI!$B$3)-(V$33*VALORI!$B$5),0)</f>
        <v>-274.24213000000009</v>
      </c>
      <c r="W41" s="28">
        <f>IF(W6&gt;0, W6-(W$30*VALORI!$B$4)-(W$31*VALORI!$B$4)-(W$32*VALORI!$B$3)-(W$33*VALORI!$B$5),0)</f>
        <v>-500.80709999999999</v>
      </c>
      <c r="X41" s="28">
        <f>IF(X6&gt;0, X6-(X$30*VALORI!$B$4)-(X$31*VALORI!$B$4)-(X$32*VALORI!$B$3)-(X$33*VALORI!$B$5),0)</f>
        <v>4008</v>
      </c>
      <c r="Y41" s="28">
        <f>IF(Y6&gt;0, Y6-(Y$30*VALORI!$B$4)-(Y$31*VALORI!$B$4)-(Y$32*VALORI!$B$3)-(Y$33*VALORI!$B$5),0)</f>
        <v>7258</v>
      </c>
      <c r="Z41" s="28">
        <f>IF(Z6&gt;0, Z6-(Z$30*VALORI!$B$4)-(Z$31*VALORI!$B$4)-(Z$32*VALORI!$B$3)-(Z$33*VALORI!$B$5),0)</f>
        <v>4358</v>
      </c>
      <c r="AA41" s="28">
        <f>IF(AA6&gt;0, AA6-(AA$30*VALORI!$B$4)-(AA$31*VALORI!$B$4)-(AA$32*VALORI!$B$3)-(AA$33*VALORI!$B$5),0)</f>
        <v>0</v>
      </c>
      <c r="AB41" s="28">
        <f>IF(AB6&gt;0, AB6-(AB$30*VALORI!$B$4)-(AB$31*VALORI!$B$4)-(AB$32*VALORI!$B$3)-(AB$33*VALORI!$B$5),0)</f>
        <v>0</v>
      </c>
      <c r="AC41" s="28">
        <f>IF(AC6&gt;0, AC6-(AC$30*VALORI!$B$4)-(AC$31*VALORI!$B$4)-(AC$32*VALORI!$B$3)-(AC$33*VALORI!$B$5),0)</f>
        <v>0</v>
      </c>
      <c r="AD41" s="28">
        <f>IF(AD6&gt;0, AD6-(AD$30*VALORI!$B$4)-(AD$31*VALORI!$B$4)-(AD$32*VALORI!$B$3)-(AD$33*VALORI!$B$5),0)</f>
        <v>0</v>
      </c>
      <c r="AE41" s="28">
        <f>IF(AE6&gt;0, AE6-(AE$30*VALORI!$B$4)-(AE$31*VALORI!$B$4)-(AE$32*VALORI!$B$3)-(AE$33*VALORI!$B$5),0)</f>
        <v>0</v>
      </c>
      <c r="AF41" s="28">
        <f>IF(AF6&gt;0, AF6-(AF$30*VALORI!$B$4)-(AF$31*VALORI!$B$4)-(AF$32*VALORI!$B$3)-(AF$33*VALORI!$B$5),0)</f>
        <v>0</v>
      </c>
      <c r="AG41" s="28">
        <f>IF(AG6&gt;0, AG6-(AG$30*VALORI!$B$4)-(AG$31*VALORI!$B$4)-(AG$32*VALORI!$B$3)-(AG$33*VALORI!$B$5),0)</f>
        <v>0</v>
      </c>
      <c r="AH41" s="28">
        <f>IF(AH6&gt;0, AH6-(AH$30*VALORI!$B$4)-(AH$31*VALORI!$B$4)-(AH$32*VALORI!$B$3)-(AH$33*VALORI!$B$5),0)</f>
        <v>0</v>
      </c>
      <c r="AI41" s="28">
        <f>IF(AI6&gt;0, AI6-(AI$30*VALORI!$B$4)-(AI$31*VALORI!$B$4)-(AI$32*VALORI!$B$3)-(AI$33*VALORI!$B$5),0)</f>
        <v>0</v>
      </c>
      <c r="AJ41" s="28">
        <f>IF(AJ6&gt;0, AJ6-(AJ$30*VALORI!$B$4)-(AJ$31*VALORI!$B$4)-(AJ$32*VALORI!$B$3)-(AJ$33*VALORI!$B$5),0)</f>
        <v>0</v>
      </c>
      <c r="AK41" s="28">
        <f>IF(AK6&gt;0, AK6-(AK$30*VALORI!$B$4)-(AK$31*VALORI!$B$4)-(AK$32*VALORI!$B$3)-(AK$33*VALORI!$B$5),0)</f>
        <v>0</v>
      </c>
      <c r="AL41" s="28">
        <f>IF(AL6&gt;0, AL6-(AL$30*VALORI!$B$4)-(AL$31*VALORI!$B$4)-(AL$32*VALORI!$B$3)-(AL$33*VALORI!$B$5),0)</f>
        <v>0</v>
      </c>
      <c r="AM41" s="28">
        <f>IF(AM6&gt;0, AM6-(AM$30*VALORI!$B$4)-(AM$31*VALORI!$B$4)-(AM$32*VALORI!$B$3)-(AM$33*VALORI!$B$5),0)</f>
        <v>0</v>
      </c>
      <c r="AN41" s="28">
        <f>IF(AN6&gt;0, AN6-(AN$30*VALORI!$B$4)-(AN$31*VALORI!$B$4)-(AN$32*VALORI!$B$3)-(AN$33*VALORI!$B$5),0)</f>
        <v>0</v>
      </c>
      <c r="AP41" s="28">
        <f>IF(AP6&gt;0, AP6-(AP$30*VALORI!$B$4)-(AP$31*VALORI!$B$4)-(AP$32*VALORI!$B$3)-(AP$33*VALORI!$B$5),0)</f>
        <v>0</v>
      </c>
      <c r="AQ41" s="28">
        <f>IF(AQ6&gt;0, AQ6-(AQ$30*VALORI!$B$4)-(AQ$31*VALORI!$B$4)-(AQ$32*VALORI!$B$3)-(AQ$33*VALORI!$B$5),0)</f>
        <v>0</v>
      </c>
      <c r="AR41" s="28">
        <f>IF(AR6&gt;0, AR6-(AR$30*VALORI!$B$4)-(AR$31*VALORI!$B$4)-(AR$32*VALORI!$B$3)-(AR$33*VALORI!$B$5),0)</f>
        <v>0</v>
      </c>
      <c r="AS41" s="28">
        <f>IF(AS6&gt;0, AS6-(AS$30*VALORI!$B$4)-(AS$31*VALORI!$B$4)-(AS$32*VALORI!$B$3)-(AS$33*VALORI!$B$5),0)</f>
        <v>0</v>
      </c>
    </row>
    <row r="42" spans="14:45" ht="15.75" x14ac:dyDescent="0.25">
      <c r="N42" s="25">
        <v>13335</v>
      </c>
      <c r="O42" s="25">
        <f t="shared" si="18"/>
        <v>14668.5</v>
      </c>
      <c r="P42" s="25">
        <f t="shared" si="16"/>
        <v>16135.35</v>
      </c>
      <c r="Q42" s="25">
        <f t="shared" si="17"/>
        <v>16619.410500000002</v>
      </c>
      <c r="V42" s="28">
        <f>IF(V7&gt;0, V7-(V$30*VALORI!$B$4)-(V$31*VALORI!$B$4)-(V$32*VALORI!$B$3)-(V$33*VALORI!$B$5),0)</f>
        <v>-242.8353699999999</v>
      </c>
      <c r="W42" s="28">
        <f>IF(W7&gt;0, W7-(W$30*VALORI!$B$4)-(W$31*VALORI!$B$4)-(W$32*VALORI!$B$3)-(W$33*VALORI!$B$5),0)</f>
        <v>-396.11789999999928</v>
      </c>
      <c r="X42" s="28">
        <f>IF(X7&gt;0, X7-(X$30*VALORI!$B$4)-(X$31*VALORI!$B$4)-(X$32*VALORI!$B$3)-(X$33*VALORI!$B$5),0)</f>
        <v>4008</v>
      </c>
      <c r="Y42" s="28">
        <f>IF(Y7&gt;0, Y7-(Y$30*VALORI!$B$4)-(Y$31*VALORI!$B$4)-(Y$32*VALORI!$B$3)-(Y$33*VALORI!$B$5),0)</f>
        <v>7258</v>
      </c>
      <c r="Z42" s="28">
        <f>IF(Z7&gt;0, Z7-(Z$30*VALORI!$B$4)-(Z$31*VALORI!$B$4)-(Z$32*VALORI!$B$3)-(Z$33*VALORI!$B$5),0)</f>
        <v>4358</v>
      </c>
      <c r="AA42" s="28">
        <f>IF(AA7&gt;0, AA7-(AA$30*VALORI!$B$4)-(AA$31*VALORI!$B$4)-(AA$32*VALORI!$B$3)-(AA$33*VALORI!$B$5),0)</f>
        <v>0</v>
      </c>
      <c r="AB42" s="28">
        <f>IF(AB7&gt;0, AB7-(AB$30*VALORI!$B$4)-(AB$31*VALORI!$B$4)-(AB$32*VALORI!$B$3)-(AB$33*VALORI!$B$5),0)</f>
        <v>0</v>
      </c>
      <c r="AC42" s="28">
        <f>IF(AC7&gt;0, AC7-(AC$30*VALORI!$B$4)-(AC$31*VALORI!$B$4)-(AC$32*VALORI!$B$3)-(AC$33*VALORI!$B$5),0)</f>
        <v>0</v>
      </c>
      <c r="AD42" s="28">
        <f>IF(AD7&gt;0, AD7-(AD$30*VALORI!$B$4)-(AD$31*VALORI!$B$4)-(AD$32*VALORI!$B$3)-(AD$33*VALORI!$B$5),0)</f>
        <v>0</v>
      </c>
      <c r="AE42" s="28">
        <f>IF(AE7&gt;0, AE7-(AE$30*VALORI!$B$4)-(AE$31*VALORI!$B$4)-(AE$32*VALORI!$B$3)-(AE$33*VALORI!$B$5),0)</f>
        <v>0</v>
      </c>
      <c r="AF42" s="28">
        <f>IF(AF7&gt;0, AF7-(AF$30*VALORI!$B$4)-(AF$31*VALORI!$B$4)-(AF$32*VALORI!$B$3)-(AF$33*VALORI!$B$5),0)</f>
        <v>0</v>
      </c>
      <c r="AG42" s="28">
        <f>IF(AG7&gt;0, AG7-(AG$30*VALORI!$B$4)-(AG$31*VALORI!$B$4)-(AG$32*VALORI!$B$3)-(AG$33*VALORI!$B$5),0)</f>
        <v>0</v>
      </c>
      <c r="AH42" s="28">
        <f>IF(AH7&gt;0, AH7-(AH$30*VALORI!$B$4)-(AH$31*VALORI!$B$4)-(AH$32*VALORI!$B$3)-(AH$33*VALORI!$B$5),0)</f>
        <v>0</v>
      </c>
      <c r="AI42" s="28">
        <f>IF(AI7&gt;0, AI7-(AI$30*VALORI!$B$4)-(AI$31*VALORI!$B$4)-(AI$32*VALORI!$B$3)-(AI$33*VALORI!$B$5),0)</f>
        <v>0</v>
      </c>
      <c r="AJ42" s="28">
        <f>IF(AJ7&gt;0, AJ7-(AJ$30*VALORI!$B$4)-(AJ$31*VALORI!$B$4)-(AJ$32*VALORI!$B$3)-(AJ$33*VALORI!$B$5),0)</f>
        <v>0</v>
      </c>
      <c r="AK42" s="28">
        <f>IF(AK7&gt;0, AK7-(AK$30*VALORI!$B$4)-(AK$31*VALORI!$B$4)-(AK$32*VALORI!$B$3)-(AK$33*VALORI!$B$5),0)</f>
        <v>0</v>
      </c>
      <c r="AL42" s="28">
        <f>IF(AL7&gt;0, AL7-(AL$30*VALORI!$B$4)-(AL$31*VALORI!$B$4)-(AL$32*VALORI!$B$3)-(AL$33*VALORI!$B$5),0)</f>
        <v>0</v>
      </c>
      <c r="AM42" s="28">
        <f>IF(AM7&gt;0, AM7-(AM$30*VALORI!$B$4)-(AM$31*VALORI!$B$4)-(AM$32*VALORI!$B$3)-(AM$33*VALORI!$B$5),0)</f>
        <v>0</v>
      </c>
      <c r="AN42" s="28">
        <f>IF(AN7&gt;0, AN7-(AN$30*VALORI!$B$4)-(AN$31*VALORI!$B$4)-(AN$32*VALORI!$B$3)-(AN$33*VALORI!$B$5),0)</f>
        <v>0</v>
      </c>
      <c r="AP42" s="28">
        <f>IF(AP7&gt;0, AP7-(AP$30*VALORI!$B$4)-(AP$31*VALORI!$B$4)-(AP$32*VALORI!$B$3)-(AP$33*VALORI!$B$5),0)</f>
        <v>0</v>
      </c>
      <c r="AQ42" s="28">
        <f>IF(AQ7&gt;0, AQ7-(AQ$30*VALORI!$B$4)-(AQ$31*VALORI!$B$4)-(AQ$32*VALORI!$B$3)-(AQ$33*VALORI!$B$5),0)</f>
        <v>0</v>
      </c>
      <c r="AR42" s="28">
        <f>IF(AR7&gt;0, AR7-(AR$30*VALORI!$B$4)-(AR$31*VALORI!$B$4)-(AR$32*VALORI!$B$3)-(AR$33*VALORI!$B$5),0)</f>
        <v>0</v>
      </c>
      <c r="AS42" s="28">
        <f>IF(AS7&gt;0, AS7-(AS$30*VALORI!$B$4)-(AS$31*VALORI!$B$4)-(AS$32*VALORI!$B$3)-(AS$33*VALORI!$B$5),0)</f>
        <v>0</v>
      </c>
    </row>
    <row r="43" spans="14:45" ht="15.75" x14ac:dyDescent="0.25">
      <c r="N43" s="25">
        <v>13335</v>
      </c>
      <c r="O43" s="25">
        <f t="shared" si="18"/>
        <v>14668.5</v>
      </c>
      <c r="P43" s="25">
        <f t="shared" si="16"/>
        <v>16135.35</v>
      </c>
      <c r="Q43" s="25">
        <f t="shared" si="17"/>
        <v>16619.410500000002</v>
      </c>
      <c r="V43" s="28">
        <f>IF(V8&gt;0, V8-(V$30*VALORI!$B$4)-(V$31*VALORI!$B$4)-(V$32*VALORI!$B$3)-(V$33*VALORI!$B$5),0)</f>
        <v>-242.8353699999999</v>
      </c>
      <c r="W43" s="28">
        <f>IF(W8&gt;0, W8-(W$30*VALORI!$B$4)-(W$31*VALORI!$B$4)-(W$32*VALORI!$B$3)-(W$33*VALORI!$B$5),0)</f>
        <v>-396.11789999999928</v>
      </c>
      <c r="X43" s="28">
        <f>IF(X8&gt;0, X8-(X$30*VALORI!$B$4)-(X$31*VALORI!$B$4)-(X$32*VALORI!$B$3)-(X$33*VALORI!$B$5),0)</f>
        <v>4008</v>
      </c>
      <c r="Y43" s="28">
        <f>IF(Y8&gt;0, Y8-(Y$30*VALORI!$B$4)-(Y$31*VALORI!$B$4)-(Y$32*VALORI!$B$3)-(Y$33*VALORI!$B$5),0)</f>
        <v>7258</v>
      </c>
      <c r="Z43" s="28">
        <f>IF(Z8&gt;0, Z8-(Z$30*VALORI!$B$4)-(Z$31*VALORI!$B$4)-(Z$32*VALORI!$B$3)-(Z$33*VALORI!$B$5),0)</f>
        <v>4358</v>
      </c>
      <c r="AA43" s="28">
        <f>IF(AA8&gt;0, AA8-(AA$30*VALORI!$B$4)-(AA$31*VALORI!$B$4)-(AA$32*VALORI!$B$3)-(AA$33*VALORI!$B$5),0)</f>
        <v>0</v>
      </c>
      <c r="AB43" s="28">
        <f>IF(AB8&gt;0, AB8-(AB$30*VALORI!$B$4)-(AB$31*VALORI!$B$4)-(AB$32*VALORI!$B$3)-(AB$33*VALORI!$B$5),0)</f>
        <v>0</v>
      </c>
      <c r="AC43" s="28">
        <f>IF(AC8&gt;0, AC8-(AC$30*VALORI!$B$4)-(AC$31*VALORI!$B$4)-(AC$32*VALORI!$B$3)-(AC$33*VALORI!$B$5),0)</f>
        <v>0</v>
      </c>
      <c r="AD43" s="28">
        <f>IF(AD8&gt;0, AD8-(AD$30*VALORI!$B$4)-(AD$31*VALORI!$B$4)-(AD$32*VALORI!$B$3)-(AD$33*VALORI!$B$5),0)</f>
        <v>0</v>
      </c>
      <c r="AE43" s="28">
        <f>IF(AE8&gt;0, AE8-(AE$30*VALORI!$B$4)-(AE$31*VALORI!$B$4)-(AE$32*VALORI!$B$3)-(AE$33*VALORI!$B$5),0)</f>
        <v>0</v>
      </c>
      <c r="AF43" s="28">
        <f>IF(AF8&gt;0, AF8-(AF$30*VALORI!$B$4)-(AF$31*VALORI!$B$4)-(AF$32*VALORI!$B$3)-(AF$33*VALORI!$B$5),0)</f>
        <v>0</v>
      </c>
      <c r="AG43" s="28">
        <f>IF(AG8&gt;0, AG8-(AG$30*VALORI!$B$4)-(AG$31*VALORI!$B$4)-(AG$32*VALORI!$B$3)-(AG$33*VALORI!$B$5),0)</f>
        <v>0</v>
      </c>
      <c r="AH43" s="28">
        <f>IF(AH8&gt;0, AH8-(AH$30*VALORI!$B$4)-(AH$31*VALORI!$B$4)-(AH$32*VALORI!$B$3)-(AH$33*VALORI!$B$5),0)</f>
        <v>0</v>
      </c>
      <c r="AI43" s="28">
        <f>IF(AI8&gt;0, AI8-(AI$30*VALORI!$B$4)-(AI$31*VALORI!$B$4)-(AI$32*VALORI!$B$3)-(AI$33*VALORI!$B$5),0)</f>
        <v>0</v>
      </c>
      <c r="AJ43" s="28">
        <f>IF(AJ8&gt;0, AJ8-(AJ$30*VALORI!$B$4)-(AJ$31*VALORI!$B$4)-(AJ$32*VALORI!$B$3)-(AJ$33*VALORI!$B$5),0)</f>
        <v>0</v>
      </c>
      <c r="AK43" s="28">
        <f>IF(AK8&gt;0, AK8-(AK$30*VALORI!$B$4)-(AK$31*VALORI!$B$4)-(AK$32*VALORI!$B$3)-(AK$33*VALORI!$B$5),0)</f>
        <v>0</v>
      </c>
      <c r="AL43" s="28">
        <f>IF(AL8&gt;0, AL8-(AL$30*VALORI!$B$4)-(AL$31*VALORI!$B$4)-(AL$32*VALORI!$B$3)-(AL$33*VALORI!$B$5),0)</f>
        <v>0</v>
      </c>
      <c r="AM43" s="28">
        <f>IF(AM8&gt;0, AM8-(AM$30*VALORI!$B$4)-(AM$31*VALORI!$B$4)-(AM$32*VALORI!$B$3)-(AM$33*VALORI!$B$5),0)</f>
        <v>0</v>
      </c>
      <c r="AN43" s="28">
        <f>IF(AN8&gt;0, AN8-(AN$30*VALORI!$B$4)-(AN$31*VALORI!$B$4)-(AN$32*VALORI!$B$3)-(AN$33*VALORI!$B$5),0)</f>
        <v>0</v>
      </c>
      <c r="AP43" s="28">
        <f>IF(AP8&gt;0, AP8-(AP$30*VALORI!$B$4)-(AP$31*VALORI!$B$4)-(AP$32*VALORI!$B$3)-(AP$33*VALORI!$B$5),0)</f>
        <v>0</v>
      </c>
      <c r="AQ43" s="28">
        <f>IF(AQ8&gt;0, AQ8-(AQ$30*VALORI!$B$4)-(AQ$31*VALORI!$B$4)-(AQ$32*VALORI!$B$3)-(AQ$33*VALORI!$B$5),0)</f>
        <v>0</v>
      </c>
      <c r="AR43" s="28">
        <f>IF(AR8&gt;0, AR8-(AR$30*VALORI!$B$4)-(AR$31*VALORI!$B$4)-(AR$32*VALORI!$B$3)-(AR$33*VALORI!$B$5),0)</f>
        <v>0</v>
      </c>
      <c r="AS43" s="28">
        <f>IF(AS8&gt;0, AS8-(AS$30*VALORI!$B$4)-(AS$31*VALORI!$B$4)-(AS$32*VALORI!$B$3)-(AS$33*VALORI!$B$5),0)</f>
        <v>0</v>
      </c>
    </row>
    <row r="44" spans="14:45" ht="15.75" x14ac:dyDescent="0.25">
      <c r="N44" s="25">
        <v>13335</v>
      </c>
      <c r="O44" s="25">
        <f t="shared" si="18"/>
        <v>14668.5</v>
      </c>
      <c r="P44" s="25">
        <f t="shared" si="16"/>
        <v>16135.35</v>
      </c>
      <c r="Q44" s="25">
        <f t="shared" si="17"/>
        <v>16619.410500000002</v>
      </c>
      <c r="V44" s="28">
        <f>IF(V9&gt;0, V9-(V$30*VALORI!$B$4)-(V$31*VALORI!$B$4)-(V$32*VALORI!$B$3)-(V$33*VALORI!$B$5),0)</f>
        <v>-242.8353699999999</v>
      </c>
      <c r="W44" s="28">
        <f>IF(W9&gt;0, W9-(W$30*VALORI!$B$4)-(W$31*VALORI!$B$4)-(W$32*VALORI!$B$3)-(W$33*VALORI!$B$5),0)</f>
        <v>-396.11789999999928</v>
      </c>
      <c r="X44" s="28">
        <f>IF(X9&gt;0, X9-(X$30*VALORI!$B$4)-(X$31*VALORI!$B$4)-(X$32*VALORI!$B$3)-(X$33*VALORI!$B$5),0)</f>
        <v>4008</v>
      </c>
      <c r="Y44" s="28">
        <f>IF(Y9&gt;0, Y9-(Y$30*VALORI!$B$4)-(Y$31*VALORI!$B$4)-(Y$32*VALORI!$B$3)-(Y$33*VALORI!$B$5),0)</f>
        <v>7258</v>
      </c>
      <c r="Z44" s="28">
        <f>IF(Z9&gt;0, Z9-(Z$30*VALORI!$B$4)-(Z$31*VALORI!$B$4)-(Z$32*VALORI!$B$3)-(Z$33*VALORI!$B$5),0)</f>
        <v>4358</v>
      </c>
      <c r="AA44" s="28">
        <f>IF(AA9&gt;0, AA9-(AA$30*VALORI!$B$4)-(AA$31*VALORI!$B$4)-(AA$32*VALORI!$B$3)-(AA$33*VALORI!$B$5),0)</f>
        <v>0</v>
      </c>
      <c r="AB44" s="28">
        <f>IF(AB9&gt;0, AB9-(AB$30*VALORI!$B$4)-(AB$31*VALORI!$B$4)-(AB$32*VALORI!$B$3)-(AB$33*VALORI!$B$5),0)</f>
        <v>0</v>
      </c>
      <c r="AC44" s="28">
        <f>IF(AC9&gt;0, AC9-(AC$30*VALORI!$B$4)-(AC$31*VALORI!$B$4)-(AC$32*VALORI!$B$3)-(AC$33*VALORI!$B$5),0)</f>
        <v>0</v>
      </c>
      <c r="AD44" s="28">
        <f>IF(AD9&gt;0, AD9-(AD$30*VALORI!$B$4)-(AD$31*VALORI!$B$4)-(AD$32*VALORI!$B$3)-(AD$33*VALORI!$B$5),0)</f>
        <v>0</v>
      </c>
      <c r="AE44" s="28">
        <f>IF(AE9&gt;0, AE9-(AE$30*VALORI!$B$4)-(AE$31*VALORI!$B$4)-(AE$32*VALORI!$B$3)-(AE$33*VALORI!$B$5),0)</f>
        <v>0</v>
      </c>
      <c r="AF44" s="28">
        <f>IF(AF9&gt;0, AF9-(AF$30*VALORI!$B$4)-(AF$31*VALORI!$B$4)-(AF$32*VALORI!$B$3)-(AF$33*VALORI!$B$5),0)</f>
        <v>0</v>
      </c>
      <c r="AG44" s="28">
        <f>IF(AG9&gt;0, AG9-(AG$30*VALORI!$B$4)-(AG$31*VALORI!$B$4)-(AG$32*VALORI!$B$3)-(AG$33*VALORI!$B$5),0)</f>
        <v>0</v>
      </c>
      <c r="AH44" s="28">
        <f>IF(AH9&gt;0, AH9-(AH$30*VALORI!$B$4)-(AH$31*VALORI!$B$4)-(AH$32*VALORI!$B$3)-(AH$33*VALORI!$B$5),0)</f>
        <v>0</v>
      </c>
      <c r="AI44" s="28">
        <f>IF(AI9&gt;0, AI9-(AI$30*VALORI!$B$4)-(AI$31*VALORI!$B$4)-(AI$32*VALORI!$B$3)-(AI$33*VALORI!$B$5),0)</f>
        <v>0</v>
      </c>
      <c r="AJ44" s="28">
        <f>IF(AJ9&gt;0, AJ9-(AJ$30*VALORI!$B$4)-(AJ$31*VALORI!$B$4)-(AJ$32*VALORI!$B$3)-(AJ$33*VALORI!$B$5),0)</f>
        <v>0</v>
      </c>
      <c r="AK44" s="28">
        <f>IF(AK9&gt;0, AK9-(AK$30*VALORI!$B$4)-(AK$31*VALORI!$B$4)-(AK$32*VALORI!$B$3)-(AK$33*VALORI!$B$5),0)</f>
        <v>0</v>
      </c>
      <c r="AL44" s="28">
        <f>IF(AL9&gt;0, AL9-(AL$30*VALORI!$B$4)-(AL$31*VALORI!$B$4)-(AL$32*VALORI!$B$3)-(AL$33*VALORI!$B$5),0)</f>
        <v>0</v>
      </c>
      <c r="AM44" s="28">
        <f>IF(AM9&gt;0, AM9-(AM$30*VALORI!$B$4)-(AM$31*VALORI!$B$4)-(AM$32*VALORI!$B$3)-(AM$33*VALORI!$B$5),0)</f>
        <v>0</v>
      </c>
      <c r="AN44" s="28">
        <f>IF(AN9&gt;0, AN9-(AN$30*VALORI!$B$4)-(AN$31*VALORI!$B$4)-(AN$32*VALORI!$B$3)-(AN$33*VALORI!$B$5),0)</f>
        <v>0</v>
      </c>
      <c r="AP44" s="28">
        <f>IF(AP9&gt;0, AP9-(AP$30*VALORI!$B$4)-(AP$31*VALORI!$B$4)-(AP$32*VALORI!$B$3)-(AP$33*VALORI!$B$5),0)</f>
        <v>0</v>
      </c>
      <c r="AQ44" s="28">
        <f>IF(AQ9&gt;0, AQ9-(AQ$30*VALORI!$B$4)-(AQ$31*VALORI!$B$4)-(AQ$32*VALORI!$B$3)-(AQ$33*VALORI!$B$5),0)</f>
        <v>0</v>
      </c>
      <c r="AR44" s="28">
        <f>IF(AR9&gt;0, AR9-(AR$30*VALORI!$B$4)-(AR$31*VALORI!$B$4)-(AR$32*VALORI!$B$3)-(AR$33*VALORI!$B$5),0)</f>
        <v>0</v>
      </c>
      <c r="AS44" s="28">
        <f>IF(AS9&gt;0, AS9-(AS$30*VALORI!$B$4)-(AS$31*VALORI!$B$4)-(AS$32*VALORI!$B$3)-(AS$33*VALORI!$B$5),0)</f>
        <v>0</v>
      </c>
    </row>
    <row r="45" spans="14:45" ht="15.75" x14ac:dyDescent="0.25">
      <c r="N45" s="25">
        <v>13650</v>
      </c>
      <c r="O45" s="25">
        <f t="shared" si="18"/>
        <v>15015</v>
      </c>
      <c r="P45" s="25">
        <f t="shared" si="16"/>
        <v>16516.5</v>
      </c>
      <c r="Q45" s="25">
        <f t="shared" si="17"/>
        <v>17011.994999999999</v>
      </c>
      <c r="V45" s="28">
        <f>IF(V10&gt;0, V10-(V$30*VALORI!$B$4)-(V$31*VALORI!$B$4)-(V$32*VALORI!$B$3)-(V$33*VALORI!$B$5),0)</f>
        <v>-219.28030000000012</v>
      </c>
      <c r="W45" s="28">
        <f>IF(W10&gt;0, W10-(W$30*VALORI!$B$4)-(W$31*VALORI!$B$4)-(W$32*VALORI!$B$3)-(W$33*VALORI!$B$5),0)</f>
        <v>-317.60100000000011</v>
      </c>
      <c r="X45" s="28">
        <f>IF(X10&gt;0, X10-(X$30*VALORI!$B$4)-(X$31*VALORI!$B$4)-(X$32*VALORI!$B$3)-(X$33*VALORI!$B$5),0)</f>
        <v>4008</v>
      </c>
      <c r="Y45" s="28">
        <f>IF(Y10&gt;0, Y10-(Y$30*VALORI!$B$4)-(Y$31*VALORI!$B$4)-(Y$32*VALORI!$B$3)-(Y$33*VALORI!$B$5),0)</f>
        <v>7258</v>
      </c>
      <c r="Z45" s="28">
        <f>IF(Z10&gt;0, Z10-(Z$30*VALORI!$B$4)-(Z$31*VALORI!$B$4)-(Z$32*VALORI!$B$3)-(Z$33*VALORI!$B$5),0)</f>
        <v>4358</v>
      </c>
      <c r="AA45" s="28">
        <f>IF(AA10&gt;0, AA10-(AA$30*VALORI!$B$4)-(AA$31*VALORI!$B$4)-(AA$32*VALORI!$B$3)-(AA$33*VALORI!$B$5),0)</f>
        <v>0</v>
      </c>
      <c r="AB45" s="28">
        <f>IF(AB10&gt;0, AB10-(AB$30*VALORI!$B$4)-(AB$31*VALORI!$B$4)-(AB$32*VALORI!$B$3)-(AB$33*VALORI!$B$5),0)</f>
        <v>0</v>
      </c>
      <c r="AC45" s="28">
        <f>IF(AC10&gt;0, AC10-(AC$30*VALORI!$B$4)-(AC$31*VALORI!$B$4)-(AC$32*VALORI!$B$3)-(AC$33*VALORI!$B$5),0)</f>
        <v>0</v>
      </c>
      <c r="AD45" s="28">
        <f>IF(AD10&gt;0, AD10-(AD$30*VALORI!$B$4)-(AD$31*VALORI!$B$4)-(AD$32*VALORI!$B$3)-(AD$33*VALORI!$B$5),0)</f>
        <v>0</v>
      </c>
      <c r="AE45" s="28">
        <f>IF(AE10&gt;0, AE10-(AE$30*VALORI!$B$4)-(AE$31*VALORI!$B$4)-(AE$32*VALORI!$B$3)-(AE$33*VALORI!$B$5),0)</f>
        <v>0</v>
      </c>
      <c r="AF45" s="28">
        <f>IF(AF10&gt;0, AF10-(AF$30*VALORI!$B$4)-(AF$31*VALORI!$B$4)-(AF$32*VALORI!$B$3)-(AF$33*VALORI!$B$5),0)</f>
        <v>0</v>
      </c>
      <c r="AG45" s="28">
        <f>IF(AG10&gt;0, AG10-(AG$30*VALORI!$B$4)-(AG$31*VALORI!$B$4)-(AG$32*VALORI!$B$3)-(AG$33*VALORI!$B$5),0)</f>
        <v>0</v>
      </c>
      <c r="AH45" s="28">
        <f>IF(AH10&gt;0, AH10-(AH$30*VALORI!$B$4)-(AH$31*VALORI!$B$4)-(AH$32*VALORI!$B$3)-(AH$33*VALORI!$B$5),0)</f>
        <v>0</v>
      </c>
      <c r="AI45" s="28">
        <f>IF(AI10&gt;0, AI10-(AI$30*VALORI!$B$4)-(AI$31*VALORI!$B$4)-(AI$32*VALORI!$B$3)-(AI$33*VALORI!$B$5),0)</f>
        <v>0</v>
      </c>
      <c r="AJ45" s="28">
        <f>IF(AJ10&gt;0, AJ10-(AJ$30*VALORI!$B$4)-(AJ$31*VALORI!$B$4)-(AJ$32*VALORI!$B$3)-(AJ$33*VALORI!$B$5),0)</f>
        <v>0</v>
      </c>
      <c r="AK45" s="28">
        <f>IF(AK10&gt;0, AK10-(AK$30*VALORI!$B$4)-(AK$31*VALORI!$B$4)-(AK$32*VALORI!$B$3)-(AK$33*VALORI!$B$5),0)</f>
        <v>0</v>
      </c>
      <c r="AL45" s="28">
        <f>IF(AL10&gt;0, AL10-(AL$30*VALORI!$B$4)-(AL$31*VALORI!$B$4)-(AL$32*VALORI!$B$3)-(AL$33*VALORI!$B$5),0)</f>
        <v>0</v>
      </c>
      <c r="AM45" s="28">
        <f>IF(AM10&gt;0, AM10-(AM$30*VALORI!$B$4)-(AM$31*VALORI!$B$4)-(AM$32*VALORI!$B$3)-(AM$33*VALORI!$B$5),0)</f>
        <v>0</v>
      </c>
      <c r="AN45" s="28">
        <f>IF(AN10&gt;0, AN10-(AN$30*VALORI!$B$4)-(AN$31*VALORI!$B$4)-(AN$32*VALORI!$B$3)-(AN$33*VALORI!$B$5),0)</f>
        <v>0</v>
      </c>
      <c r="AP45" s="28">
        <f>IF(AP10&gt;0, AP10-(AP$30*VALORI!$B$4)-(AP$31*VALORI!$B$4)-(AP$32*VALORI!$B$3)-(AP$33*VALORI!$B$5),0)</f>
        <v>0</v>
      </c>
      <c r="AQ45" s="28">
        <f>IF(AQ10&gt;0, AQ10-(AQ$30*VALORI!$B$4)-(AQ$31*VALORI!$B$4)-(AQ$32*VALORI!$B$3)-(AQ$33*VALORI!$B$5),0)</f>
        <v>0</v>
      </c>
      <c r="AR45" s="28">
        <f>IF(AR10&gt;0, AR10-(AR$30*VALORI!$B$4)-(AR$31*VALORI!$B$4)-(AR$32*VALORI!$B$3)-(AR$33*VALORI!$B$5),0)</f>
        <v>0</v>
      </c>
      <c r="AS45" s="28">
        <f>IF(AS10&gt;0, AS10-(AS$30*VALORI!$B$4)-(AS$31*VALORI!$B$4)-(AS$32*VALORI!$B$3)-(AS$33*VALORI!$B$5),0)</f>
        <v>0</v>
      </c>
    </row>
    <row r="46" spans="14:45" ht="15.75" x14ac:dyDescent="0.25">
      <c r="N46" s="25">
        <v>13650</v>
      </c>
      <c r="O46" s="25">
        <f t="shared" si="18"/>
        <v>15015</v>
      </c>
      <c r="P46" s="25">
        <f t="shared" si="16"/>
        <v>16516.5</v>
      </c>
      <c r="Q46" s="25">
        <f t="shared" si="17"/>
        <v>17011.994999999999</v>
      </c>
      <c r="V46" s="28">
        <f>IF(V11&gt;0, V11-(V$30*VALORI!$B$4)-(V$31*VALORI!$B$4)-(V$32*VALORI!$B$3)-(V$33*VALORI!$B$5),0)</f>
        <v>-219.28030000000012</v>
      </c>
      <c r="W46" s="28">
        <f>IF(W11&gt;0, W11-(W$30*VALORI!$B$4)-(W$31*VALORI!$B$4)-(W$32*VALORI!$B$3)-(W$33*VALORI!$B$5),0)</f>
        <v>-317.60100000000011</v>
      </c>
      <c r="X46" s="28">
        <f>IF(X11&gt;0, X11-(X$30*VALORI!$B$4)-(X$31*VALORI!$B$4)-(X$32*VALORI!$B$3)-(X$33*VALORI!$B$5),0)</f>
        <v>6008</v>
      </c>
      <c r="Y46" s="28">
        <f>IF(Y11&gt;0, Y11-(Y$30*VALORI!$B$4)-(Y$31*VALORI!$B$4)-(Y$32*VALORI!$B$3)-(Y$33*VALORI!$B$5),0)</f>
        <v>10558</v>
      </c>
      <c r="Z46" s="28">
        <f>IF(Z11&gt;0, Z11-(Z$30*VALORI!$B$4)-(Z$31*VALORI!$B$4)-(Z$32*VALORI!$B$3)-(Z$33*VALORI!$B$5),0)</f>
        <v>4358</v>
      </c>
      <c r="AA46" s="28">
        <f>IF(AA11&gt;0, AA11-(AA$30*VALORI!$B$4)-(AA$31*VALORI!$B$4)-(AA$32*VALORI!$B$3)-(AA$33*VALORI!$B$5),0)</f>
        <v>0</v>
      </c>
      <c r="AB46" s="28">
        <f>IF(AB11&gt;0, AB11-(AB$30*VALORI!$B$4)-(AB$31*VALORI!$B$4)-(AB$32*VALORI!$B$3)-(AB$33*VALORI!$B$5),0)</f>
        <v>0</v>
      </c>
      <c r="AC46" s="28">
        <f>IF(AC11&gt;0, AC11-(AC$30*VALORI!$B$4)-(AC$31*VALORI!$B$4)-(AC$32*VALORI!$B$3)-(AC$33*VALORI!$B$5),0)</f>
        <v>0</v>
      </c>
      <c r="AD46" s="28">
        <f>IF(AD11&gt;0, AD11-(AD$30*VALORI!$B$4)-(AD$31*VALORI!$B$4)-(AD$32*VALORI!$B$3)-(AD$33*VALORI!$B$5),0)</f>
        <v>0</v>
      </c>
      <c r="AE46" s="28">
        <f>IF(AE11&gt;0, AE11-(AE$30*VALORI!$B$4)-(AE$31*VALORI!$B$4)-(AE$32*VALORI!$B$3)-(AE$33*VALORI!$B$5),0)</f>
        <v>0</v>
      </c>
      <c r="AF46" s="28">
        <f>IF(AF11&gt;0, AF11-(AF$30*VALORI!$B$4)-(AF$31*VALORI!$B$4)-(AF$32*VALORI!$B$3)-(AF$33*VALORI!$B$5),0)</f>
        <v>0</v>
      </c>
      <c r="AG46" s="28">
        <f>IF(AG11&gt;0, AG11-(AG$30*VALORI!$B$4)-(AG$31*VALORI!$B$4)-(AG$32*VALORI!$B$3)-(AG$33*VALORI!$B$5),0)</f>
        <v>0</v>
      </c>
      <c r="AH46" s="28">
        <f>IF(AH11&gt;0, AH11-(AH$30*VALORI!$B$4)-(AH$31*VALORI!$B$4)-(AH$32*VALORI!$B$3)-(AH$33*VALORI!$B$5),0)</f>
        <v>0</v>
      </c>
      <c r="AI46" s="28">
        <f>IF(AI11&gt;0, AI11-(AI$30*VALORI!$B$4)-(AI$31*VALORI!$B$4)-(AI$32*VALORI!$B$3)-(AI$33*VALORI!$B$5),0)</f>
        <v>0</v>
      </c>
      <c r="AJ46" s="28">
        <f>IF(AJ11&gt;0, AJ11-(AJ$30*VALORI!$B$4)-(AJ$31*VALORI!$B$4)-(AJ$32*VALORI!$B$3)-(AJ$33*VALORI!$B$5),0)</f>
        <v>0</v>
      </c>
      <c r="AK46" s="28">
        <f>IF(AK11&gt;0, AK11-(AK$30*VALORI!$B$4)-(AK$31*VALORI!$B$4)-(AK$32*VALORI!$B$3)-(AK$33*VALORI!$B$5),0)</f>
        <v>0</v>
      </c>
      <c r="AL46" s="28">
        <f>IF(AL11&gt;0, AL11-(AL$30*VALORI!$B$4)-(AL$31*VALORI!$B$4)-(AL$32*VALORI!$B$3)-(AL$33*VALORI!$B$5),0)</f>
        <v>0</v>
      </c>
      <c r="AM46" s="28">
        <f>IF(AM11&gt;0, AM11-(AM$30*VALORI!$B$4)-(AM$31*VALORI!$B$4)-(AM$32*VALORI!$B$3)-(AM$33*VALORI!$B$5),0)</f>
        <v>0</v>
      </c>
      <c r="AN46" s="28">
        <f>IF(AN11&gt;0, AN11-(AN$30*VALORI!$B$4)-(AN$31*VALORI!$B$4)-(AN$32*VALORI!$B$3)-(AN$33*VALORI!$B$5),0)</f>
        <v>0</v>
      </c>
      <c r="AP46" s="28">
        <f>IF(AP11&gt;0, AP11-(AP$30*VALORI!$B$4)-(AP$31*VALORI!$B$4)-(AP$32*VALORI!$B$3)-(AP$33*VALORI!$B$5),0)</f>
        <v>0</v>
      </c>
      <c r="AQ46" s="28">
        <f>IF(AQ11&gt;0, AQ11-(AQ$30*VALORI!$B$4)-(AQ$31*VALORI!$B$4)-(AQ$32*VALORI!$B$3)-(AQ$33*VALORI!$B$5),0)</f>
        <v>0</v>
      </c>
      <c r="AR46" s="28">
        <f>IF(AR11&gt;0, AR11-(AR$30*VALORI!$B$4)-(AR$31*VALORI!$B$4)-(AR$32*VALORI!$B$3)-(AR$33*VALORI!$B$5),0)</f>
        <v>0</v>
      </c>
      <c r="AS46" s="28">
        <f>IF(AS11&gt;0, AS11-(AS$30*VALORI!$B$4)-(AS$31*VALORI!$B$4)-(AS$32*VALORI!$B$3)-(AS$33*VALORI!$B$5),0)</f>
        <v>0</v>
      </c>
    </row>
    <row r="47" spans="14:45" ht="15.75" x14ac:dyDescent="0.25">
      <c r="N47" s="25">
        <v>14150</v>
      </c>
      <c r="O47" s="25">
        <f t="shared" si="18"/>
        <v>15565</v>
      </c>
      <c r="P47" s="25">
        <f t="shared" si="16"/>
        <v>17121.5</v>
      </c>
      <c r="Q47" s="25">
        <f t="shared" si="17"/>
        <v>17635.145</v>
      </c>
      <c r="V47" s="28">
        <f>IF(V12&gt;0, V12-(V$30*VALORI!$B$4)-(V$31*VALORI!$B$4)-(V$32*VALORI!$B$3)-(V$33*VALORI!$B$5),0)</f>
        <v>-181.8913</v>
      </c>
      <c r="W47" s="28">
        <f>IF(W12&gt;0, W12-(W$30*VALORI!$B$4)-(W$31*VALORI!$B$4)-(W$32*VALORI!$B$3)-(W$33*VALORI!$B$5),0)</f>
        <v>-192.97099999999955</v>
      </c>
      <c r="X47" s="28">
        <f>IF(X12&gt;0, X12-(X$30*VALORI!$B$4)-(X$31*VALORI!$B$4)-(X$32*VALORI!$B$3)-(X$33*VALORI!$B$5),0)</f>
        <v>6008</v>
      </c>
      <c r="Y47" s="28">
        <f>IF(Y12&gt;0, Y12-(Y$30*VALORI!$B$4)-(Y$31*VALORI!$B$4)-(Y$32*VALORI!$B$3)-(Y$33*VALORI!$B$5),0)</f>
        <v>10558</v>
      </c>
      <c r="Z47" s="28">
        <f>IF(Z12&gt;0, Z12-(Z$30*VALORI!$B$4)-(Z$31*VALORI!$B$4)-(Z$32*VALORI!$B$3)-(Z$33*VALORI!$B$5),0)</f>
        <v>4358</v>
      </c>
      <c r="AA47" s="28">
        <f>IF(AA12&gt;0, AA12-(AA$30*VALORI!$B$4)-(AA$31*VALORI!$B$4)-(AA$32*VALORI!$B$3)-(AA$33*VALORI!$B$5),0)</f>
        <v>0</v>
      </c>
      <c r="AB47" s="28">
        <f>IF(AB12&gt;0, AB12-(AB$30*VALORI!$B$4)-(AB$31*VALORI!$B$4)-(AB$32*VALORI!$B$3)-(AB$33*VALORI!$B$5),0)</f>
        <v>0</v>
      </c>
      <c r="AC47" s="28">
        <f>IF(AC12&gt;0, AC12-(AC$30*VALORI!$B$4)-(AC$31*VALORI!$B$4)-(AC$32*VALORI!$B$3)-(AC$33*VALORI!$B$5),0)</f>
        <v>0</v>
      </c>
      <c r="AD47" s="28">
        <f>IF(AD12&gt;0, AD12-(AD$30*VALORI!$B$4)-(AD$31*VALORI!$B$4)-(AD$32*VALORI!$B$3)-(AD$33*VALORI!$B$5),0)</f>
        <v>0</v>
      </c>
      <c r="AE47" s="28">
        <f>IF(AE12&gt;0, AE12-(AE$30*VALORI!$B$4)-(AE$31*VALORI!$B$4)-(AE$32*VALORI!$B$3)-(AE$33*VALORI!$B$5),0)</f>
        <v>0</v>
      </c>
      <c r="AF47" s="28">
        <f>IF(AF12&gt;0, AF12-(AF$30*VALORI!$B$4)-(AF$31*VALORI!$B$4)-(AF$32*VALORI!$B$3)-(AF$33*VALORI!$B$5),0)</f>
        <v>0</v>
      </c>
      <c r="AG47" s="28">
        <f>IF(AG12&gt;0, AG12-(AG$30*VALORI!$B$4)-(AG$31*VALORI!$B$4)-(AG$32*VALORI!$B$3)-(AG$33*VALORI!$B$5),0)</f>
        <v>0</v>
      </c>
      <c r="AH47" s="28">
        <f>IF(AH12&gt;0, AH12-(AH$30*VALORI!$B$4)-(AH$31*VALORI!$B$4)-(AH$32*VALORI!$B$3)-(AH$33*VALORI!$B$5),0)</f>
        <v>0</v>
      </c>
      <c r="AI47" s="28">
        <f>IF(AI12&gt;0, AI12-(AI$30*VALORI!$B$4)-(AI$31*VALORI!$B$4)-(AI$32*VALORI!$B$3)-(AI$33*VALORI!$B$5),0)</f>
        <v>0</v>
      </c>
      <c r="AJ47" s="28">
        <f>IF(AJ12&gt;0, AJ12-(AJ$30*VALORI!$B$4)-(AJ$31*VALORI!$B$4)-(AJ$32*VALORI!$B$3)-(AJ$33*VALORI!$B$5),0)</f>
        <v>0</v>
      </c>
      <c r="AK47" s="28">
        <f>IF(AK12&gt;0, AK12-(AK$30*VALORI!$B$4)-(AK$31*VALORI!$B$4)-(AK$32*VALORI!$B$3)-(AK$33*VALORI!$B$5),0)</f>
        <v>0</v>
      </c>
      <c r="AL47" s="28">
        <f>IF(AL12&gt;0, AL12-(AL$30*VALORI!$B$4)-(AL$31*VALORI!$B$4)-(AL$32*VALORI!$B$3)-(AL$33*VALORI!$B$5),0)</f>
        <v>0</v>
      </c>
      <c r="AM47" s="28">
        <f>IF(AM12&gt;0, AM12-(AM$30*VALORI!$B$4)-(AM$31*VALORI!$B$4)-(AM$32*VALORI!$B$3)-(AM$33*VALORI!$B$5),0)</f>
        <v>0</v>
      </c>
      <c r="AN47" s="28">
        <f>IF(AN12&gt;0, AN12-(AN$30*VALORI!$B$4)-(AN$31*VALORI!$B$4)-(AN$32*VALORI!$B$3)-(AN$33*VALORI!$B$5),0)</f>
        <v>0</v>
      </c>
      <c r="AP47" s="28">
        <f>IF(AP12&gt;0, AP12-(AP$30*VALORI!$B$4)-(AP$31*VALORI!$B$4)-(AP$32*VALORI!$B$3)-(AP$33*VALORI!$B$5),0)</f>
        <v>0</v>
      </c>
      <c r="AQ47" s="28">
        <f>IF(AQ12&gt;0, AQ12-(AQ$30*VALORI!$B$4)-(AQ$31*VALORI!$B$4)-(AQ$32*VALORI!$B$3)-(AQ$33*VALORI!$B$5),0)</f>
        <v>0</v>
      </c>
      <c r="AR47" s="28">
        <f>IF(AR12&gt;0, AR12-(AR$30*VALORI!$B$4)-(AR$31*VALORI!$B$4)-(AR$32*VALORI!$B$3)-(AR$33*VALORI!$B$5),0)</f>
        <v>0</v>
      </c>
      <c r="AS47" s="28">
        <f>IF(AS12&gt;0, AS12-(AS$30*VALORI!$B$4)-(AS$31*VALORI!$B$4)-(AS$32*VALORI!$B$3)-(AS$33*VALORI!$B$5),0)</f>
        <v>0</v>
      </c>
    </row>
    <row r="48" spans="14:45" ht="15.75" x14ac:dyDescent="0.25">
      <c r="N48" s="25">
        <v>17325</v>
      </c>
      <c r="O48" s="25">
        <f t="shared" si="18"/>
        <v>19057.5</v>
      </c>
      <c r="P48" s="25">
        <f t="shared" si="16"/>
        <v>20963.25</v>
      </c>
      <c r="Q48" s="25">
        <f t="shared" si="17"/>
        <v>21592.147499999999</v>
      </c>
      <c r="V48" s="28">
        <f>IF(V13&gt;0, V13-(V$30*VALORI!$B$4)-(V$31*VALORI!$B$4)-(V$32*VALORI!$B$3)-(V$33*VALORI!$B$5),0)</f>
        <v>55.52884999999992</v>
      </c>
      <c r="W48" s="28">
        <f>IF(W13&gt;0, W13-(W$30*VALORI!$B$4)-(W$31*VALORI!$B$4)-(W$32*VALORI!$B$3)-(W$33*VALORI!$B$5),0)</f>
        <v>598.42950000000019</v>
      </c>
      <c r="X48" s="28">
        <f>IF(X13&gt;0, X13-(X$30*VALORI!$B$4)-(X$31*VALORI!$B$4)-(X$32*VALORI!$B$3)-(X$33*VALORI!$B$5),0)</f>
        <v>6008</v>
      </c>
      <c r="Y48" s="28">
        <f>IF(Y13&gt;0, Y13-(Y$30*VALORI!$B$4)-(Y$31*VALORI!$B$4)-(Y$32*VALORI!$B$3)-(Y$33*VALORI!$B$5),0)</f>
        <v>10558</v>
      </c>
      <c r="Z48" s="28">
        <f>IF(Z13&gt;0, Z13-(Z$30*VALORI!$B$4)-(Z$31*VALORI!$B$4)-(Z$32*VALORI!$B$3)-(Z$33*VALORI!$B$5),0)</f>
        <v>4358</v>
      </c>
      <c r="AA48" s="28">
        <f>IF(AA13&gt;0, AA13-(AA$30*VALORI!$B$4)-(AA$31*VALORI!$B$4)-(AA$32*VALORI!$B$3)-(AA$33*VALORI!$B$5),0)</f>
        <v>0</v>
      </c>
      <c r="AB48" s="28">
        <f>IF(AB13&gt;0, AB13-(AB$30*VALORI!$B$4)-(AB$31*VALORI!$B$4)-(AB$32*VALORI!$B$3)-(AB$33*VALORI!$B$5),0)</f>
        <v>0</v>
      </c>
      <c r="AC48" s="28">
        <f>IF(AC13&gt;0, AC13-(AC$30*VALORI!$B$4)-(AC$31*VALORI!$B$4)-(AC$32*VALORI!$B$3)-(AC$33*VALORI!$B$5),0)</f>
        <v>0</v>
      </c>
      <c r="AD48" s="28">
        <f>IF(AD13&gt;0, AD13-(AD$30*VALORI!$B$4)-(AD$31*VALORI!$B$4)-(AD$32*VALORI!$B$3)-(AD$33*VALORI!$B$5),0)</f>
        <v>0</v>
      </c>
      <c r="AE48" s="28">
        <f>IF(AE13&gt;0, AE13-(AE$30*VALORI!$B$4)-(AE$31*VALORI!$B$4)-(AE$32*VALORI!$B$3)-(AE$33*VALORI!$B$5),0)</f>
        <v>0</v>
      </c>
      <c r="AF48" s="28">
        <f>IF(AF13&gt;0, AF13-(AF$30*VALORI!$B$4)-(AF$31*VALORI!$B$4)-(AF$32*VALORI!$B$3)-(AF$33*VALORI!$B$5),0)</f>
        <v>0</v>
      </c>
      <c r="AG48" s="28">
        <f>IF(AG13&gt;0, AG13-(AG$30*VALORI!$B$4)-(AG$31*VALORI!$B$4)-(AG$32*VALORI!$B$3)-(AG$33*VALORI!$B$5),0)</f>
        <v>0</v>
      </c>
      <c r="AH48" s="28">
        <f>IF(AH13&gt;0, AH13-(AH$30*VALORI!$B$4)-(AH$31*VALORI!$B$4)-(AH$32*VALORI!$B$3)-(AH$33*VALORI!$B$5),0)</f>
        <v>0</v>
      </c>
      <c r="AI48" s="28">
        <f>IF(AI13&gt;0, AI13-(AI$30*VALORI!$B$4)-(AI$31*VALORI!$B$4)-(AI$32*VALORI!$B$3)-(AI$33*VALORI!$B$5),0)</f>
        <v>0</v>
      </c>
      <c r="AJ48" s="28">
        <f>IF(AJ13&gt;0, AJ13-(AJ$30*VALORI!$B$4)-(AJ$31*VALORI!$B$4)-(AJ$32*VALORI!$B$3)-(AJ$33*VALORI!$B$5),0)</f>
        <v>0</v>
      </c>
      <c r="AK48" s="28">
        <f>IF(AK13&gt;0, AK13-(AK$30*VALORI!$B$4)-(AK$31*VALORI!$B$4)-(AK$32*VALORI!$B$3)-(AK$33*VALORI!$B$5),0)</f>
        <v>0</v>
      </c>
      <c r="AL48" s="28">
        <f>IF(AL13&gt;0, AL13-(AL$30*VALORI!$B$4)-(AL$31*VALORI!$B$4)-(AL$32*VALORI!$B$3)-(AL$33*VALORI!$B$5),0)</f>
        <v>0</v>
      </c>
      <c r="AM48" s="28">
        <f>IF(AM13&gt;0, AM13-(AM$30*VALORI!$B$4)-(AM$31*VALORI!$B$4)-(AM$32*VALORI!$B$3)-(AM$33*VALORI!$B$5),0)</f>
        <v>0</v>
      </c>
      <c r="AN48" s="28">
        <f>IF(AN13&gt;0, AN13-(AN$30*VALORI!$B$4)-(AN$31*VALORI!$B$4)-(AN$32*VALORI!$B$3)-(AN$33*VALORI!$B$5),0)</f>
        <v>0</v>
      </c>
      <c r="AP48" s="28">
        <f>IF(AP13&gt;0, AP13-(AP$30*VALORI!$B$4)-(AP$31*VALORI!$B$4)-(AP$32*VALORI!$B$3)-(AP$33*VALORI!$B$5),0)</f>
        <v>0</v>
      </c>
      <c r="AQ48" s="28">
        <f>IF(AQ13&gt;0, AQ13-(AQ$30*VALORI!$B$4)-(AQ$31*VALORI!$B$4)-(AQ$32*VALORI!$B$3)-(AQ$33*VALORI!$B$5),0)</f>
        <v>0</v>
      </c>
      <c r="AR48" s="28">
        <f>IF(AR13&gt;0, AR13-(AR$30*VALORI!$B$4)-(AR$31*VALORI!$B$4)-(AR$32*VALORI!$B$3)-(AR$33*VALORI!$B$5),0)</f>
        <v>0</v>
      </c>
      <c r="AS48" s="28">
        <f>IF(AS13&gt;0, AS13-(AS$30*VALORI!$B$4)-(AS$31*VALORI!$B$4)-(AS$32*VALORI!$B$3)-(AS$33*VALORI!$B$5),0)</f>
        <v>0</v>
      </c>
    </row>
    <row r="49" spans="14:45" ht="15.75" x14ac:dyDescent="0.25">
      <c r="N49" s="25">
        <v>17325</v>
      </c>
      <c r="O49" s="25">
        <f t="shared" si="18"/>
        <v>19057.5</v>
      </c>
      <c r="P49" s="25">
        <f t="shared" si="16"/>
        <v>20963.25</v>
      </c>
      <c r="Q49" s="25">
        <f t="shared" si="17"/>
        <v>21592.147499999999</v>
      </c>
      <c r="V49" s="28">
        <f>IF(V14&gt;0, V14-(V$30*VALORI!$B$4)-(V$31*VALORI!$B$4)-(V$32*VALORI!$B$3)-(V$33*VALORI!$B$5),0)</f>
        <v>55.52884999999992</v>
      </c>
      <c r="W49" s="28">
        <f>IF(W14&gt;0, W14-(W$30*VALORI!$B$4)-(W$31*VALORI!$B$4)-(W$32*VALORI!$B$3)-(W$33*VALORI!$B$5),0)</f>
        <v>598.42950000000019</v>
      </c>
      <c r="X49" s="28">
        <f>IF(X14&gt;0, X14-(X$30*VALORI!$B$4)-(X$31*VALORI!$B$4)-(X$32*VALORI!$B$3)-(X$33*VALORI!$B$5),0)</f>
        <v>6008</v>
      </c>
      <c r="Y49" s="28">
        <f>IF(Y14&gt;0, Y14-(Y$30*VALORI!$B$4)-(Y$31*VALORI!$B$4)-(Y$32*VALORI!$B$3)-(Y$33*VALORI!$B$5),0)</f>
        <v>10558</v>
      </c>
      <c r="Z49" s="28">
        <f>IF(Z14&gt;0, Z14-(Z$30*VALORI!$B$4)-(Z$31*VALORI!$B$4)-(Z$32*VALORI!$B$3)-(Z$33*VALORI!$B$5),0)</f>
        <v>4358</v>
      </c>
      <c r="AA49" s="28">
        <f>IF(AA14&gt;0, AA14-(AA$30*VALORI!$B$4)-(AA$31*VALORI!$B$4)-(AA$32*VALORI!$B$3)-(AA$33*VALORI!$B$5),0)</f>
        <v>0</v>
      </c>
      <c r="AB49" s="28">
        <f>IF(AB14&gt;0, AB14-(AB$30*VALORI!$B$4)-(AB$31*VALORI!$B$4)-(AB$32*VALORI!$B$3)-(AB$33*VALORI!$B$5),0)</f>
        <v>0</v>
      </c>
      <c r="AC49" s="28">
        <f>IF(AC14&gt;0, AC14-(AC$30*VALORI!$B$4)-(AC$31*VALORI!$B$4)-(AC$32*VALORI!$B$3)-(AC$33*VALORI!$B$5),0)</f>
        <v>0</v>
      </c>
      <c r="AD49" s="28">
        <f>IF(AD14&gt;0, AD14-(AD$30*VALORI!$B$4)-(AD$31*VALORI!$B$4)-(AD$32*VALORI!$B$3)-(AD$33*VALORI!$B$5),0)</f>
        <v>0</v>
      </c>
      <c r="AE49" s="28">
        <f>IF(AE14&gt;0, AE14-(AE$30*VALORI!$B$4)-(AE$31*VALORI!$B$4)-(AE$32*VALORI!$B$3)-(AE$33*VALORI!$B$5),0)</f>
        <v>0</v>
      </c>
      <c r="AF49" s="28">
        <f>IF(AF14&gt;0, AF14-(AF$30*VALORI!$B$4)-(AF$31*VALORI!$B$4)-(AF$32*VALORI!$B$3)-(AF$33*VALORI!$B$5),0)</f>
        <v>0</v>
      </c>
      <c r="AG49" s="28">
        <f>IF(AG14&gt;0, AG14-(AG$30*VALORI!$B$4)-(AG$31*VALORI!$B$4)-(AG$32*VALORI!$B$3)-(AG$33*VALORI!$B$5),0)</f>
        <v>0</v>
      </c>
      <c r="AH49" s="28">
        <f>IF(AH14&gt;0, AH14-(AH$30*VALORI!$B$4)-(AH$31*VALORI!$B$4)-(AH$32*VALORI!$B$3)-(AH$33*VALORI!$B$5),0)</f>
        <v>0</v>
      </c>
      <c r="AI49" s="28">
        <f>IF(AI14&gt;0, AI14-(AI$30*VALORI!$B$4)-(AI$31*VALORI!$B$4)-(AI$32*VALORI!$B$3)-(AI$33*VALORI!$B$5),0)</f>
        <v>0</v>
      </c>
      <c r="AJ49" s="28">
        <f>IF(AJ14&gt;0, AJ14-(AJ$30*VALORI!$B$4)-(AJ$31*VALORI!$B$4)-(AJ$32*VALORI!$B$3)-(AJ$33*VALORI!$B$5),0)</f>
        <v>0</v>
      </c>
      <c r="AK49" s="28">
        <f>IF(AK14&gt;0, AK14-(AK$30*VALORI!$B$4)-(AK$31*VALORI!$B$4)-(AK$32*VALORI!$B$3)-(AK$33*VALORI!$B$5),0)</f>
        <v>0</v>
      </c>
      <c r="AL49" s="28">
        <f>IF(AL14&gt;0, AL14-(AL$30*VALORI!$B$4)-(AL$31*VALORI!$B$4)-(AL$32*VALORI!$B$3)-(AL$33*VALORI!$B$5),0)</f>
        <v>0</v>
      </c>
      <c r="AM49" s="28">
        <f>IF(AM14&gt;0, AM14-(AM$30*VALORI!$B$4)-(AM$31*VALORI!$B$4)-(AM$32*VALORI!$B$3)-(AM$33*VALORI!$B$5),0)</f>
        <v>0</v>
      </c>
      <c r="AN49" s="28">
        <f>IF(AN14&gt;0, AN14-(AN$30*VALORI!$B$4)-(AN$31*VALORI!$B$4)-(AN$32*VALORI!$B$3)-(AN$33*VALORI!$B$5),0)</f>
        <v>0</v>
      </c>
      <c r="AP49" s="28">
        <f>IF(AP14&gt;0, AP14-(AP$30*VALORI!$B$4)-(AP$31*VALORI!$B$4)-(AP$32*VALORI!$B$3)-(AP$33*VALORI!$B$5),0)</f>
        <v>0</v>
      </c>
      <c r="AQ49" s="28">
        <f>IF(AQ14&gt;0, AQ14-(AQ$30*VALORI!$B$4)-(AQ$31*VALORI!$B$4)-(AQ$32*VALORI!$B$3)-(AQ$33*VALORI!$B$5),0)</f>
        <v>0</v>
      </c>
      <c r="AR49" s="28">
        <f>IF(AR14&gt;0, AR14-(AR$30*VALORI!$B$4)-(AR$31*VALORI!$B$4)-(AR$32*VALORI!$B$3)-(AR$33*VALORI!$B$5),0)</f>
        <v>0</v>
      </c>
      <c r="AS49" s="28">
        <f>IF(AS14&gt;0, AS14-(AS$30*VALORI!$B$4)-(AS$31*VALORI!$B$4)-(AS$32*VALORI!$B$3)-(AS$33*VALORI!$B$5),0)</f>
        <v>0</v>
      </c>
    </row>
    <row r="50" spans="14:45" ht="15.75" x14ac:dyDescent="0.25">
      <c r="N50" s="25">
        <v>17325</v>
      </c>
      <c r="O50" s="25">
        <f t="shared" si="18"/>
        <v>19057.5</v>
      </c>
      <c r="P50" s="25">
        <f t="shared" si="16"/>
        <v>20963.25</v>
      </c>
      <c r="Q50" s="25">
        <f t="shared" si="17"/>
        <v>21592.147499999999</v>
      </c>
      <c r="V50" s="28">
        <f>IF(V15&gt;0, V15-(V$30*VALORI!$B$4)-(V$31*VALORI!$B$4)-(V$32*VALORI!$B$3)-(V$33*VALORI!$B$5),0)</f>
        <v>55.52884999999992</v>
      </c>
      <c r="W50" s="28">
        <f>IF(W15&gt;0, W15-(W$30*VALORI!$B$4)-(W$31*VALORI!$B$4)-(W$32*VALORI!$B$3)-(W$33*VALORI!$B$5),0)</f>
        <v>598.42950000000019</v>
      </c>
      <c r="X50" s="28">
        <f>IF(X15&gt;0, X15-(X$30*VALORI!$B$4)-(X$31*VALORI!$B$4)-(X$32*VALORI!$B$3)-(X$33*VALORI!$B$5),0)</f>
        <v>6008</v>
      </c>
      <c r="Y50" s="28">
        <f>IF(Y15&gt;0, Y15-(Y$30*VALORI!$B$4)-(Y$31*VALORI!$B$4)-(Y$32*VALORI!$B$3)-(Y$33*VALORI!$B$5),0)</f>
        <v>10558</v>
      </c>
      <c r="Z50" s="28">
        <f>IF(Z15&gt;0, Z15-(Z$30*VALORI!$B$4)-(Z$31*VALORI!$B$4)-(Z$32*VALORI!$B$3)-(Z$33*VALORI!$B$5),0)</f>
        <v>4358</v>
      </c>
      <c r="AA50" s="28">
        <f>IF(AA15&gt;0, AA15-(AA$30*VALORI!$B$4)-(AA$31*VALORI!$B$4)-(AA$32*VALORI!$B$3)-(AA$33*VALORI!$B$5),0)</f>
        <v>0</v>
      </c>
      <c r="AB50" s="28">
        <f>IF(AB15&gt;0, AB15-(AB$30*VALORI!$B$4)-(AB$31*VALORI!$B$4)-(AB$32*VALORI!$B$3)-(AB$33*VALORI!$B$5),0)</f>
        <v>0</v>
      </c>
      <c r="AC50" s="28">
        <f>IF(AC15&gt;0, AC15-(AC$30*VALORI!$B$4)-(AC$31*VALORI!$B$4)-(AC$32*VALORI!$B$3)-(AC$33*VALORI!$B$5),0)</f>
        <v>0</v>
      </c>
      <c r="AD50" s="28">
        <f>IF(AD15&gt;0, AD15-(AD$30*VALORI!$B$4)-(AD$31*VALORI!$B$4)-(AD$32*VALORI!$B$3)-(AD$33*VALORI!$B$5),0)</f>
        <v>0</v>
      </c>
      <c r="AE50" s="28">
        <f>IF(AE15&gt;0, AE15-(AE$30*VALORI!$B$4)-(AE$31*VALORI!$B$4)-(AE$32*VALORI!$B$3)-(AE$33*VALORI!$B$5),0)</f>
        <v>0</v>
      </c>
      <c r="AF50" s="28">
        <f>IF(AF15&gt;0, AF15-(AF$30*VALORI!$B$4)-(AF$31*VALORI!$B$4)-(AF$32*VALORI!$B$3)-(AF$33*VALORI!$B$5),0)</f>
        <v>0</v>
      </c>
      <c r="AG50" s="28">
        <f>IF(AG15&gt;0, AG15-(AG$30*VALORI!$B$4)-(AG$31*VALORI!$B$4)-(AG$32*VALORI!$B$3)-(AG$33*VALORI!$B$5),0)</f>
        <v>0</v>
      </c>
      <c r="AH50" s="28">
        <f>IF(AH15&gt;0, AH15-(AH$30*VALORI!$B$4)-(AH$31*VALORI!$B$4)-(AH$32*VALORI!$B$3)-(AH$33*VALORI!$B$5),0)</f>
        <v>0</v>
      </c>
      <c r="AI50" s="28">
        <f>IF(AI15&gt;0, AI15-(AI$30*VALORI!$B$4)-(AI$31*VALORI!$B$4)-(AI$32*VALORI!$B$3)-(AI$33*VALORI!$B$5),0)</f>
        <v>0</v>
      </c>
      <c r="AJ50" s="28">
        <f>IF(AJ15&gt;0, AJ15-(AJ$30*VALORI!$B$4)-(AJ$31*VALORI!$B$4)-(AJ$32*VALORI!$B$3)-(AJ$33*VALORI!$B$5),0)</f>
        <v>0</v>
      </c>
      <c r="AK50" s="28">
        <f>IF(AK15&gt;0, AK15-(AK$30*VALORI!$B$4)-(AK$31*VALORI!$B$4)-(AK$32*VALORI!$B$3)-(AK$33*VALORI!$B$5),0)</f>
        <v>0</v>
      </c>
      <c r="AL50" s="28">
        <f>IF(AL15&gt;0, AL15-(AL$30*VALORI!$B$4)-(AL$31*VALORI!$B$4)-(AL$32*VALORI!$B$3)-(AL$33*VALORI!$B$5),0)</f>
        <v>0</v>
      </c>
      <c r="AM50" s="28">
        <f>IF(AM15&gt;0, AM15-(AM$30*VALORI!$B$4)-(AM$31*VALORI!$B$4)-(AM$32*VALORI!$B$3)-(AM$33*VALORI!$B$5),0)</f>
        <v>0</v>
      </c>
      <c r="AN50" s="28">
        <f>IF(AN15&gt;0, AN15-(AN$30*VALORI!$B$4)-(AN$31*VALORI!$B$4)-(AN$32*VALORI!$B$3)-(AN$33*VALORI!$B$5),0)</f>
        <v>0</v>
      </c>
      <c r="AP50" s="28">
        <f>IF(AP15&gt;0, AP15-(AP$30*VALORI!$B$4)-(AP$31*VALORI!$B$4)-(AP$32*VALORI!$B$3)-(AP$33*VALORI!$B$5),0)</f>
        <v>0</v>
      </c>
      <c r="AQ50" s="28">
        <f>IF(AQ15&gt;0, AQ15-(AQ$30*VALORI!$B$4)-(AQ$31*VALORI!$B$4)-(AQ$32*VALORI!$B$3)-(AQ$33*VALORI!$B$5),0)</f>
        <v>0</v>
      </c>
      <c r="AR50" s="28">
        <f>IF(AR15&gt;0, AR15-(AR$30*VALORI!$B$4)-(AR$31*VALORI!$B$4)-(AR$32*VALORI!$B$3)-(AR$33*VALORI!$B$5),0)</f>
        <v>0</v>
      </c>
      <c r="AS50" s="28">
        <f>IF(AS15&gt;0, AS15-(AS$30*VALORI!$B$4)-(AS$31*VALORI!$B$4)-(AS$32*VALORI!$B$3)-(AS$33*VALORI!$B$5),0)</f>
        <v>0</v>
      </c>
    </row>
    <row r="51" spans="14:45" ht="15.75" x14ac:dyDescent="0.25">
      <c r="N51" s="25">
        <v>17850</v>
      </c>
      <c r="O51" s="25">
        <f t="shared" si="18"/>
        <v>19635</v>
      </c>
      <c r="P51" s="25">
        <f t="shared" si="16"/>
        <v>21598.5</v>
      </c>
      <c r="Q51" s="25">
        <f t="shared" si="17"/>
        <v>22246.455000000002</v>
      </c>
      <c r="V51" s="28">
        <f>IF(V16&gt;0, V16-(V$30*VALORI!$B$4)-(V$31*VALORI!$B$4)-(V$32*VALORI!$B$3)-(V$33*VALORI!$B$5),0)</f>
        <v>94.787299999999959</v>
      </c>
      <c r="W51" s="28">
        <f>IF(W16&gt;0, W16-(W$30*VALORI!$B$4)-(W$31*VALORI!$B$4)-(W$32*VALORI!$B$3)-(W$33*VALORI!$B$5),0)</f>
        <v>729.29100000000017</v>
      </c>
      <c r="X51" s="28">
        <f>IF(X16&gt;0, X16-(X$30*VALORI!$B$4)-(X$31*VALORI!$B$4)-(X$32*VALORI!$B$3)-(X$33*VALORI!$B$5),0)</f>
        <v>6008</v>
      </c>
      <c r="Y51" s="28">
        <f>IF(Y16&gt;0, Y16-(Y$30*VALORI!$B$4)-(Y$31*VALORI!$B$4)-(Y$32*VALORI!$B$3)-(Y$33*VALORI!$B$5),0)</f>
        <v>10558</v>
      </c>
      <c r="Z51" s="28">
        <f>IF(Z16&gt;0, Z16-(Z$30*VALORI!$B$4)-(Z$31*VALORI!$B$4)-(Z$32*VALORI!$B$3)-(Z$33*VALORI!$B$5),0)</f>
        <v>4358</v>
      </c>
      <c r="AA51" s="28">
        <f>IF(AA16&gt;0, AA16-(AA$30*VALORI!$B$4)-(AA$31*VALORI!$B$4)-(AA$32*VALORI!$B$3)-(AA$33*VALORI!$B$5),0)</f>
        <v>0</v>
      </c>
      <c r="AB51" s="28">
        <f>IF(AB16&gt;0, AB16-(AB$30*VALORI!$B$4)-(AB$31*VALORI!$B$4)-(AB$32*VALORI!$B$3)-(AB$33*VALORI!$B$5),0)</f>
        <v>0</v>
      </c>
      <c r="AC51" s="28">
        <f>IF(AC16&gt;0, AC16-(AC$30*VALORI!$B$4)-(AC$31*VALORI!$B$4)-(AC$32*VALORI!$B$3)-(AC$33*VALORI!$B$5),0)</f>
        <v>0</v>
      </c>
      <c r="AD51" s="28">
        <f>IF(AD16&gt;0, AD16-(AD$30*VALORI!$B$4)-(AD$31*VALORI!$B$4)-(AD$32*VALORI!$B$3)-(AD$33*VALORI!$B$5),0)</f>
        <v>0</v>
      </c>
      <c r="AE51" s="28">
        <f>IF(AE16&gt;0, AE16-(AE$30*VALORI!$B$4)-(AE$31*VALORI!$B$4)-(AE$32*VALORI!$B$3)-(AE$33*VALORI!$B$5),0)</f>
        <v>0</v>
      </c>
      <c r="AF51" s="28">
        <f>IF(AF16&gt;0, AF16-(AF$30*VALORI!$B$4)-(AF$31*VALORI!$B$4)-(AF$32*VALORI!$B$3)-(AF$33*VALORI!$B$5),0)</f>
        <v>0</v>
      </c>
      <c r="AG51" s="28">
        <f>IF(AG16&gt;0, AG16-(AG$30*VALORI!$B$4)-(AG$31*VALORI!$B$4)-(AG$32*VALORI!$B$3)-(AG$33*VALORI!$B$5),0)</f>
        <v>0</v>
      </c>
      <c r="AH51" s="28">
        <f>IF(AH16&gt;0, AH16-(AH$30*VALORI!$B$4)-(AH$31*VALORI!$B$4)-(AH$32*VALORI!$B$3)-(AH$33*VALORI!$B$5),0)</f>
        <v>0</v>
      </c>
      <c r="AI51" s="28">
        <f>IF(AI16&gt;0, AI16-(AI$30*VALORI!$B$4)-(AI$31*VALORI!$B$4)-(AI$32*VALORI!$B$3)-(AI$33*VALORI!$B$5),0)</f>
        <v>0</v>
      </c>
      <c r="AJ51" s="28">
        <f>IF(AJ16&gt;0, AJ16-(AJ$30*VALORI!$B$4)-(AJ$31*VALORI!$B$4)-(AJ$32*VALORI!$B$3)-(AJ$33*VALORI!$B$5),0)</f>
        <v>0</v>
      </c>
      <c r="AK51" s="28">
        <f>IF(AK16&gt;0, AK16-(AK$30*VALORI!$B$4)-(AK$31*VALORI!$B$4)-(AK$32*VALORI!$B$3)-(AK$33*VALORI!$B$5),0)</f>
        <v>0</v>
      </c>
      <c r="AL51" s="28">
        <f>IF(AL16&gt;0, AL16-(AL$30*VALORI!$B$4)-(AL$31*VALORI!$B$4)-(AL$32*VALORI!$B$3)-(AL$33*VALORI!$B$5),0)</f>
        <v>0</v>
      </c>
      <c r="AM51" s="28">
        <f>IF(AM16&gt;0, AM16-(AM$30*VALORI!$B$4)-(AM$31*VALORI!$B$4)-(AM$32*VALORI!$B$3)-(AM$33*VALORI!$B$5),0)</f>
        <v>0</v>
      </c>
      <c r="AN51" s="28">
        <f>IF(AN16&gt;0, AN16-(AN$30*VALORI!$B$4)-(AN$31*VALORI!$B$4)-(AN$32*VALORI!$B$3)-(AN$33*VALORI!$B$5),0)</f>
        <v>0</v>
      </c>
      <c r="AP51" s="28">
        <f>IF(AP16&gt;0, AP16-(AP$30*VALORI!$B$4)-(AP$31*VALORI!$B$4)-(AP$32*VALORI!$B$3)-(AP$33*VALORI!$B$5),0)</f>
        <v>0</v>
      </c>
      <c r="AQ51" s="28">
        <f>IF(AQ16&gt;0, AQ16-(AQ$30*VALORI!$B$4)-(AQ$31*VALORI!$B$4)-(AQ$32*VALORI!$B$3)-(AQ$33*VALORI!$B$5),0)</f>
        <v>0</v>
      </c>
      <c r="AR51" s="28">
        <f>IF(AR16&gt;0, AR16-(AR$30*VALORI!$B$4)-(AR$31*VALORI!$B$4)-(AR$32*VALORI!$B$3)-(AR$33*VALORI!$B$5),0)</f>
        <v>0</v>
      </c>
      <c r="AS51" s="28">
        <f>IF(AS16&gt;0, AS16-(AS$30*VALORI!$B$4)-(AS$31*VALORI!$B$4)-(AS$32*VALORI!$B$3)-(AS$33*VALORI!$B$5),0)</f>
        <v>0</v>
      </c>
    </row>
    <row r="52" spans="14:45" ht="15.75" x14ac:dyDescent="0.25">
      <c r="N52" s="25">
        <v>18375</v>
      </c>
      <c r="O52" s="25">
        <f t="shared" si="18"/>
        <v>20212.5</v>
      </c>
      <c r="P52" s="25">
        <f t="shared" si="16"/>
        <v>22233.75</v>
      </c>
      <c r="Q52" s="25">
        <f t="shared" si="17"/>
        <v>22900.762500000001</v>
      </c>
      <c r="V52" s="28">
        <f>IF(V17&gt;0, V17-(V$30*VALORI!$B$4)-(V$31*VALORI!$B$4)-(V$32*VALORI!$B$3)-(V$33*VALORI!$B$5),0)</f>
        <v>134.04575</v>
      </c>
      <c r="W52" s="28">
        <f>IF(W17&gt;0, W17-(W$30*VALORI!$B$4)-(W$31*VALORI!$B$4)-(W$32*VALORI!$B$3)-(W$33*VALORI!$B$5),0)</f>
        <v>860.15250000000015</v>
      </c>
      <c r="X52" s="28">
        <f>IF(X17&gt;0, X17-(X$30*VALORI!$B$4)-(X$31*VALORI!$B$4)-(X$32*VALORI!$B$3)-(X$33*VALORI!$B$5),0)</f>
        <v>6008</v>
      </c>
      <c r="Y52" s="28">
        <f>IF(Y17&gt;0, Y17-(Y$30*VALORI!$B$4)-(Y$31*VALORI!$B$4)-(Y$32*VALORI!$B$3)-(Y$33*VALORI!$B$5),0)</f>
        <v>10558</v>
      </c>
      <c r="Z52" s="28">
        <f>IF(Z17&gt;0, Z17-(Z$30*VALORI!$B$4)-(Z$31*VALORI!$B$4)-(Z$32*VALORI!$B$3)-(Z$33*VALORI!$B$5),0)</f>
        <v>4358</v>
      </c>
      <c r="AA52" s="28">
        <f>IF(AA17&gt;0, AA17-(AA$30*VALORI!$B$4)-(AA$31*VALORI!$B$4)-(AA$32*VALORI!$B$3)-(AA$33*VALORI!$B$5),0)</f>
        <v>0</v>
      </c>
      <c r="AB52" s="28">
        <f>IF(AB17&gt;0, AB17-(AB$30*VALORI!$B$4)-(AB$31*VALORI!$B$4)-(AB$32*VALORI!$B$3)-(AB$33*VALORI!$B$5),0)</f>
        <v>0</v>
      </c>
      <c r="AC52" s="28">
        <f>IF(AC17&gt;0, AC17-(AC$30*VALORI!$B$4)-(AC$31*VALORI!$B$4)-(AC$32*VALORI!$B$3)-(AC$33*VALORI!$B$5),0)</f>
        <v>0</v>
      </c>
      <c r="AD52" s="28">
        <f>IF(AD17&gt;0, AD17-(AD$30*VALORI!$B$4)-(AD$31*VALORI!$B$4)-(AD$32*VALORI!$B$3)-(AD$33*VALORI!$B$5),0)</f>
        <v>0</v>
      </c>
      <c r="AE52" s="28">
        <f>IF(AE17&gt;0, AE17-(AE$30*VALORI!$B$4)-(AE$31*VALORI!$B$4)-(AE$32*VALORI!$B$3)-(AE$33*VALORI!$B$5),0)</f>
        <v>0</v>
      </c>
      <c r="AF52" s="28">
        <f>IF(AF17&gt;0, AF17-(AF$30*VALORI!$B$4)-(AF$31*VALORI!$B$4)-(AF$32*VALORI!$B$3)-(AF$33*VALORI!$B$5),0)</f>
        <v>0</v>
      </c>
      <c r="AG52" s="28">
        <f>IF(AG17&gt;0, AG17-(AG$30*VALORI!$B$4)-(AG$31*VALORI!$B$4)-(AG$32*VALORI!$B$3)-(AG$33*VALORI!$B$5),0)</f>
        <v>0</v>
      </c>
      <c r="AH52" s="28">
        <f>IF(AH17&gt;0, AH17-(AH$30*VALORI!$B$4)-(AH$31*VALORI!$B$4)-(AH$32*VALORI!$B$3)-(AH$33*VALORI!$B$5),0)</f>
        <v>0</v>
      </c>
      <c r="AI52" s="28">
        <f>IF(AI17&gt;0, AI17-(AI$30*VALORI!$B$4)-(AI$31*VALORI!$B$4)-(AI$32*VALORI!$B$3)-(AI$33*VALORI!$B$5),0)</f>
        <v>0</v>
      </c>
      <c r="AJ52" s="28">
        <f>IF(AJ17&gt;0, AJ17-(AJ$30*VALORI!$B$4)-(AJ$31*VALORI!$B$4)-(AJ$32*VALORI!$B$3)-(AJ$33*VALORI!$B$5),0)</f>
        <v>0</v>
      </c>
      <c r="AK52" s="28">
        <f>IF(AK17&gt;0, AK17-(AK$30*VALORI!$B$4)-(AK$31*VALORI!$B$4)-(AK$32*VALORI!$B$3)-(AK$33*VALORI!$B$5),0)</f>
        <v>0</v>
      </c>
      <c r="AL52" s="28">
        <f>IF(AL17&gt;0, AL17-(AL$30*VALORI!$B$4)-(AL$31*VALORI!$B$4)-(AL$32*VALORI!$B$3)-(AL$33*VALORI!$B$5),0)</f>
        <v>0</v>
      </c>
      <c r="AM52" s="28">
        <f>IF(AM17&gt;0, AM17-(AM$30*VALORI!$B$4)-(AM$31*VALORI!$B$4)-(AM$32*VALORI!$B$3)-(AM$33*VALORI!$B$5),0)</f>
        <v>0</v>
      </c>
      <c r="AN52" s="28">
        <f>IF(AN17&gt;0, AN17-(AN$30*VALORI!$B$4)-(AN$31*VALORI!$B$4)-(AN$32*VALORI!$B$3)-(AN$33*VALORI!$B$5),0)</f>
        <v>0</v>
      </c>
      <c r="AP52" s="28">
        <f>IF(AP17&gt;0, AP17-(AP$30*VALORI!$B$4)-(AP$31*VALORI!$B$4)-(AP$32*VALORI!$B$3)-(AP$33*VALORI!$B$5),0)</f>
        <v>0</v>
      </c>
      <c r="AQ52" s="28">
        <f>IF(AQ17&gt;0, AQ17-(AQ$30*VALORI!$B$4)-(AQ$31*VALORI!$B$4)-(AQ$32*VALORI!$B$3)-(AQ$33*VALORI!$B$5),0)</f>
        <v>0</v>
      </c>
      <c r="AR52" s="28">
        <f>IF(AR17&gt;0, AR17-(AR$30*VALORI!$B$4)-(AR$31*VALORI!$B$4)-(AR$32*VALORI!$B$3)-(AR$33*VALORI!$B$5),0)</f>
        <v>0</v>
      </c>
      <c r="AS52" s="28">
        <f>IF(AS17&gt;0, AS17-(AS$30*VALORI!$B$4)-(AS$31*VALORI!$B$4)-(AS$32*VALORI!$B$3)-(AS$33*VALORI!$B$5),0)</f>
        <v>0</v>
      </c>
    </row>
    <row r="53" spans="14:45" ht="15.75" x14ac:dyDescent="0.25">
      <c r="N53" s="25">
        <v>18900</v>
      </c>
      <c r="O53" s="25">
        <f t="shared" si="18"/>
        <v>20790</v>
      </c>
      <c r="P53" s="25">
        <f t="shared" si="16"/>
        <v>22869</v>
      </c>
      <c r="Q53" s="25">
        <f t="shared" si="17"/>
        <v>23555.07</v>
      </c>
      <c r="V53" s="28">
        <f>IF(V18&gt;0, V18-(V$30*VALORI!$B$4)-(V$31*VALORI!$B$4)-(V$32*VALORI!$B$3)-(V$33*VALORI!$B$5),0)</f>
        <v>173.30420000000004</v>
      </c>
      <c r="W53" s="28">
        <f>IF(W18&gt;0, W18-(W$30*VALORI!$B$4)-(W$31*VALORI!$B$4)-(W$32*VALORI!$B$3)-(W$33*VALORI!$B$5),0)</f>
        <v>991.01400000000012</v>
      </c>
      <c r="X53" s="28">
        <f>IF(X18&gt;0, X18-(X$30*VALORI!$B$4)-(X$31*VALORI!$B$4)-(X$32*VALORI!$B$3)-(X$33*VALORI!$B$5),0)</f>
        <v>6008</v>
      </c>
      <c r="Y53" s="28">
        <f>IF(Y18&gt;0, Y18-(Y$30*VALORI!$B$4)-(Y$31*VALORI!$B$4)-(Y$32*VALORI!$B$3)-(Y$33*VALORI!$B$5),0)</f>
        <v>10558</v>
      </c>
      <c r="Z53" s="28">
        <f>IF(Z18&gt;0, Z18-(Z$30*VALORI!$B$4)-(Z$31*VALORI!$B$4)-(Z$32*VALORI!$B$3)-(Z$33*VALORI!$B$5),0)</f>
        <v>4358</v>
      </c>
      <c r="AA53" s="28">
        <f>IF(AA18&gt;0, AA18-(AA$30*VALORI!$B$4)-(AA$31*VALORI!$B$4)-(AA$32*VALORI!$B$3)-(AA$33*VALORI!$B$5),0)</f>
        <v>0</v>
      </c>
      <c r="AB53" s="28">
        <f>IF(AB18&gt;0, AB18-(AB$30*VALORI!$B$4)-(AB$31*VALORI!$B$4)-(AB$32*VALORI!$B$3)-(AB$33*VALORI!$B$5),0)</f>
        <v>0</v>
      </c>
      <c r="AC53" s="28">
        <f>IF(AC18&gt;0, AC18-(AC$30*VALORI!$B$4)-(AC$31*VALORI!$B$4)-(AC$32*VALORI!$B$3)-(AC$33*VALORI!$B$5),0)</f>
        <v>0</v>
      </c>
      <c r="AD53" s="28">
        <f>IF(AD18&gt;0, AD18-(AD$30*VALORI!$B$4)-(AD$31*VALORI!$B$4)-(AD$32*VALORI!$B$3)-(AD$33*VALORI!$B$5),0)</f>
        <v>0</v>
      </c>
      <c r="AE53" s="28">
        <f>IF(AE18&gt;0, AE18-(AE$30*VALORI!$B$4)-(AE$31*VALORI!$B$4)-(AE$32*VALORI!$B$3)-(AE$33*VALORI!$B$5),0)</f>
        <v>0</v>
      </c>
      <c r="AF53" s="28">
        <f>IF(AF18&gt;0, AF18-(AF$30*VALORI!$B$4)-(AF$31*VALORI!$B$4)-(AF$32*VALORI!$B$3)-(AF$33*VALORI!$B$5),0)</f>
        <v>0</v>
      </c>
      <c r="AG53" s="28">
        <f>IF(AG18&gt;0, AG18-(AG$30*VALORI!$B$4)-(AG$31*VALORI!$B$4)-(AG$32*VALORI!$B$3)-(AG$33*VALORI!$B$5),0)</f>
        <v>0</v>
      </c>
      <c r="AH53" s="28">
        <f>IF(AH18&gt;0, AH18-(AH$30*VALORI!$B$4)-(AH$31*VALORI!$B$4)-(AH$32*VALORI!$B$3)-(AH$33*VALORI!$B$5),0)</f>
        <v>0</v>
      </c>
      <c r="AI53" s="28">
        <f>IF(AI18&gt;0, AI18-(AI$30*VALORI!$B$4)-(AI$31*VALORI!$B$4)-(AI$32*VALORI!$B$3)-(AI$33*VALORI!$B$5),0)</f>
        <v>0</v>
      </c>
      <c r="AJ53" s="28">
        <f>IF(AJ18&gt;0, AJ18-(AJ$30*VALORI!$B$4)-(AJ$31*VALORI!$B$4)-(AJ$32*VALORI!$B$3)-(AJ$33*VALORI!$B$5),0)</f>
        <v>0</v>
      </c>
      <c r="AK53" s="28">
        <f>IF(AK18&gt;0, AK18-(AK$30*VALORI!$B$4)-(AK$31*VALORI!$B$4)-(AK$32*VALORI!$B$3)-(AK$33*VALORI!$B$5),0)</f>
        <v>0</v>
      </c>
      <c r="AL53" s="28">
        <f>IF(AL18&gt;0, AL18-(AL$30*VALORI!$B$4)-(AL$31*VALORI!$B$4)-(AL$32*VALORI!$B$3)-(AL$33*VALORI!$B$5),0)</f>
        <v>0</v>
      </c>
      <c r="AM53" s="28">
        <f>IF(AM18&gt;0, AM18-(AM$30*VALORI!$B$4)-(AM$31*VALORI!$B$4)-(AM$32*VALORI!$B$3)-(AM$33*VALORI!$B$5),0)</f>
        <v>0</v>
      </c>
      <c r="AN53" s="28">
        <f>IF(AN18&gt;0, AN18-(AN$30*VALORI!$B$4)-(AN$31*VALORI!$B$4)-(AN$32*VALORI!$B$3)-(AN$33*VALORI!$B$5),0)</f>
        <v>0</v>
      </c>
      <c r="AP53" s="28">
        <f>IF(AP18&gt;0, AP18-(AP$30*VALORI!$B$4)-(AP$31*VALORI!$B$4)-(AP$32*VALORI!$B$3)-(AP$33*VALORI!$B$5),0)</f>
        <v>0</v>
      </c>
      <c r="AQ53" s="28">
        <f>IF(AQ18&gt;0, AQ18-(AQ$30*VALORI!$B$4)-(AQ$31*VALORI!$B$4)-(AQ$32*VALORI!$B$3)-(AQ$33*VALORI!$B$5),0)</f>
        <v>0</v>
      </c>
      <c r="AR53" s="28">
        <f>IF(AR18&gt;0, AR18-(AR$30*VALORI!$B$4)-(AR$31*VALORI!$B$4)-(AR$32*VALORI!$B$3)-(AR$33*VALORI!$B$5),0)</f>
        <v>0</v>
      </c>
      <c r="AS53" s="28">
        <f>IF(AS18&gt;0, AS18-(AS$30*VALORI!$B$4)-(AS$31*VALORI!$B$4)-(AS$32*VALORI!$B$3)-(AS$33*VALORI!$B$5),0)</f>
        <v>0</v>
      </c>
    </row>
    <row r="54" spans="14:45" ht="15.75" x14ac:dyDescent="0.25">
      <c r="N54" s="25">
        <v>19425</v>
      </c>
      <c r="O54" s="25">
        <f t="shared" si="18"/>
        <v>21367.5</v>
      </c>
      <c r="P54" s="25">
        <f t="shared" si="16"/>
        <v>23504.25</v>
      </c>
      <c r="Q54" s="25">
        <f t="shared" si="17"/>
        <v>24209.377499999999</v>
      </c>
      <c r="V54" s="28">
        <f>IF(V19&gt;0, V19-(V$30*VALORI!$B$4)-(V$31*VALORI!$B$4)-(V$32*VALORI!$B$3)-(V$33*VALORI!$B$5),0)</f>
        <v>212.56264999999985</v>
      </c>
      <c r="W54" s="28">
        <f>IF(W19&gt;0, W19-(W$30*VALORI!$B$4)-(W$31*VALORI!$B$4)-(W$32*VALORI!$B$3)-(W$33*VALORI!$B$5),0)</f>
        <v>1121.8755000000001</v>
      </c>
      <c r="X54" s="28">
        <f>IF(X19&gt;0, X19-(X$30*VALORI!$B$4)-(X$31*VALORI!$B$4)-(X$32*VALORI!$B$3)-(X$33*VALORI!$B$5),0)</f>
        <v>6008</v>
      </c>
      <c r="Y54" s="28">
        <f>IF(Y19&gt;0, Y19-(Y$30*VALORI!$B$4)-(Y$31*VALORI!$B$4)-(Y$32*VALORI!$B$3)-(Y$33*VALORI!$B$5),0)</f>
        <v>10558</v>
      </c>
      <c r="Z54" s="28">
        <f>IF(Z19&gt;0, Z19-(Z$30*VALORI!$B$4)-(Z$31*VALORI!$B$4)-(Z$32*VALORI!$B$3)-(Z$33*VALORI!$B$5),0)</f>
        <v>4358</v>
      </c>
      <c r="AA54" s="28">
        <f>IF(AA19&gt;0, AA19-(AA$30*VALORI!$B$4)-(AA$31*VALORI!$B$4)-(AA$32*VALORI!$B$3)-(AA$33*VALORI!$B$5),0)</f>
        <v>0</v>
      </c>
      <c r="AB54" s="28">
        <f>IF(AB19&gt;0, AB19-(AB$30*VALORI!$B$4)-(AB$31*VALORI!$B$4)-(AB$32*VALORI!$B$3)-(AB$33*VALORI!$B$5),0)</f>
        <v>0</v>
      </c>
      <c r="AC54" s="28">
        <f>IF(AC19&gt;0, AC19-(AC$30*VALORI!$B$4)-(AC$31*VALORI!$B$4)-(AC$32*VALORI!$B$3)-(AC$33*VALORI!$B$5),0)</f>
        <v>0</v>
      </c>
      <c r="AD54" s="28">
        <f>IF(AD19&gt;0, AD19-(AD$30*VALORI!$B$4)-(AD$31*VALORI!$B$4)-(AD$32*VALORI!$B$3)-(AD$33*VALORI!$B$5),0)</f>
        <v>0</v>
      </c>
      <c r="AE54" s="28">
        <f>IF(AE19&gt;0, AE19-(AE$30*VALORI!$B$4)-(AE$31*VALORI!$B$4)-(AE$32*VALORI!$B$3)-(AE$33*VALORI!$B$5),0)</f>
        <v>0</v>
      </c>
      <c r="AF54" s="28">
        <f>IF(AF19&gt;0, AF19-(AF$30*VALORI!$B$4)-(AF$31*VALORI!$B$4)-(AF$32*VALORI!$B$3)-(AF$33*VALORI!$B$5),0)</f>
        <v>0</v>
      </c>
      <c r="AG54" s="28">
        <f>IF(AG19&gt;0, AG19-(AG$30*VALORI!$B$4)-(AG$31*VALORI!$B$4)-(AG$32*VALORI!$B$3)-(AG$33*VALORI!$B$5),0)</f>
        <v>0</v>
      </c>
      <c r="AH54" s="28">
        <f>IF(AH19&gt;0, AH19-(AH$30*VALORI!$B$4)-(AH$31*VALORI!$B$4)-(AH$32*VALORI!$B$3)-(AH$33*VALORI!$B$5),0)</f>
        <v>0</v>
      </c>
      <c r="AI54" s="28">
        <f>IF(AI19&gt;0, AI19-(AI$30*VALORI!$B$4)-(AI$31*VALORI!$B$4)-(AI$32*VALORI!$B$3)-(AI$33*VALORI!$B$5),0)</f>
        <v>0</v>
      </c>
      <c r="AJ54" s="28">
        <f>IF(AJ19&gt;0, AJ19-(AJ$30*VALORI!$B$4)-(AJ$31*VALORI!$B$4)-(AJ$32*VALORI!$B$3)-(AJ$33*VALORI!$B$5),0)</f>
        <v>0</v>
      </c>
      <c r="AK54" s="28">
        <f>IF(AK19&gt;0, AK19-(AK$30*VALORI!$B$4)-(AK$31*VALORI!$B$4)-(AK$32*VALORI!$B$3)-(AK$33*VALORI!$B$5),0)</f>
        <v>0</v>
      </c>
      <c r="AL54" s="28">
        <f>IF(AL19&gt;0, AL19-(AL$30*VALORI!$B$4)-(AL$31*VALORI!$B$4)-(AL$32*VALORI!$B$3)-(AL$33*VALORI!$B$5),0)</f>
        <v>0</v>
      </c>
      <c r="AM54" s="28">
        <f>IF(AM19&gt;0, AM19-(AM$30*VALORI!$B$4)-(AM$31*VALORI!$B$4)-(AM$32*VALORI!$B$3)-(AM$33*VALORI!$B$5),0)</f>
        <v>0</v>
      </c>
      <c r="AN54" s="28">
        <f>IF(AN19&gt;0, AN19-(AN$30*VALORI!$B$4)-(AN$31*VALORI!$B$4)-(AN$32*VALORI!$B$3)-(AN$33*VALORI!$B$5),0)</f>
        <v>0</v>
      </c>
      <c r="AP54" s="28">
        <f>IF(AP19&gt;0, AP19-(AP$30*VALORI!$B$4)-(AP$31*VALORI!$B$4)-(AP$32*VALORI!$B$3)-(AP$33*VALORI!$B$5),0)</f>
        <v>0</v>
      </c>
      <c r="AQ54" s="28">
        <f>IF(AQ19&gt;0, AQ19-(AQ$30*VALORI!$B$4)-(AQ$31*VALORI!$B$4)-(AQ$32*VALORI!$B$3)-(AQ$33*VALORI!$B$5),0)</f>
        <v>0</v>
      </c>
      <c r="AR54" s="28">
        <f>IF(AR19&gt;0, AR19-(AR$30*VALORI!$B$4)-(AR$31*VALORI!$B$4)-(AR$32*VALORI!$B$3)-(AR$33*VALORI!$B$5),0)</f>
        <v>0</v>
      </c>
      <c r="AS54" s="28">
        <f>IF(AS19&gt;0, AS19-(AS$30*VALORI!$B$4)-(AS$31*VALORI!$B$4)-(AS$32*VALORI!$B$3)-(AS$33*VALORI!$B$5),0)</f>
        <v>0</v>
      </c>
    </row>
    <row r="55" spans="14:45" x14ac:dyDescent="0.25">
      <c r="N55" s="25">
        <v>20265</v>
      </c>
      <c r="O55" s="25">
        <f t="shared" si="18"/>
        <v>22291.5</v>
      </c>
      <c r="P55" s="25">
        <f t="shared" si="16"/>
        <v>24520.65</v>
      </c>
      <c r="Q55" s="25">
        <f t="shared" si="17"/>
        <v>25256.269500000002</v>
      </c>
    </row>
    <row r="57" spans="14:45" ht="78" customHeight="1" x14ac:dyDescent="0.25">
      <c r="V57" s="94" t="s">
        <v>340</v>
      </c>
      <c r="W57" s="94" t="s">
        <v>340</v>
      </c>
      <c r="X57" s="94" t="s">
        <v>340</v>
      </c>
      <c r="Y57" s="94" t="s">
        <v>340</v>
      </c>
      <c r="Z57" s="94" t="s">
        <v>340</v>
      </c>
      <c r="AA57" s="94" t="s">
        <v>340</v>
      </c>
      <c r="AB57" s="94" t="s">
        <v>340</v>
      </c>
      <c r="AC57" s="94" t="s">
        <v>340</v>
      </c>
      <c r="AD57" s="94" t="s">
        <v>340</v>
      </c>
      <c r="AE57" s="94" t="s">
        <v>340</v>
      </c>
      <c r="AF57" s="94" t="s">
        <v>340</v>
      </c>
      <c r="AG57" s="94" t="s">
        <v>340</v>
      </c>
      <c r="AH57" s="94" t="s">
        <v>340</v>
      </c>
      <c r="AI57" s="94" t="s">
        <v>340</v>
      </c>
      <c r="AJ57" s="94" t="s">
        <v>340</v>
      </c>
      <c r="AK57" s="94" t="s">
        <v>340</v>
      </c>
      <c r="AL57" s="94" t="s">
        <v>340</v>
      </c>
      <c r="AM57" s="94" t="s">
        <v>340</v>
      </c>
      <c r="AN57" s="94" t="s">
        <v>340</v>
      </c>
      <c r="AP57" s="94" t="s">
        <v>340</v>
      </c>
      <c r="AQ57" s="94" t="s">
        <v>340</v>
      </c>
      <c r="AR57" s="94" t="s">
        <v>340</v>
      </c>
      <c r="AS57" s="94" t="s">
        <v>340</v>
      </c>
    </row>
    <row r="58" spans="14:45" ht="15.75" x14ac:dyDescent="0.25">
      <c r="V58" s="28">
        <f>IF(V3&gt;0, (V$30*VALORI!$B$4)+(V$31*VALORI!$B$4)+(V$32*VALORI!$B$3)+(V$33*VALORI!$B$5),0)</f>
        <v>1240</v>
      </c>
      <c r="W58" s="28">
        <f>IF(W3&gt;0, (W$30*VALORI!$B$4)+(W$31*VALORI!$B$4)+(W$32*VALORI!$B$3)+(W$33*VALORI!$B$5),0)</f>
        <v>3720</v>
      </c>
      <c r="X58" s="28">
        <f>IF(X3&gt;0, (X$30*VALORI!$B$4)+(X$31*VALORI!$B$4)+(X$32*VALORI!$B$3)+(X$33*VALORI!$B$5),0)</f>
        <v>0</v>
      </c>
      <c r="Y58" s="28">
        <f>IF(Y3&gt;0, (Y$30*VALORI!$B$4)+(Y$31*VALORI!$B$4)+(Y$32*VALORI!$B$3)+(Y$33*VALORI!$B$5),0)</f>
        <v>0</v>
      </c>
      <c r="Z58" s="28">
        <f>IF(Z3&gt;0, (Z$30*VALORI!$B$4)+(Z$31*VALORI!$B$4)+(Z$32*VALORI!$B$3)+(Z$33*VALORI!$B$5),0)</f>
        <v>0</v>
      </c>
      <c r="AA58" s="28">
        <f>IF(AA3&gt;0, (AA$30*VALORI!$B$4)+(AA$31*VALORI!$B$4)+(AA$32*VALORI!$B$3)+(AA$33*VALORI!$B$5),0)</f>
        <v>0</v>
      </c>
      <c r="AB58" s="28">
        <f>IF(AB3&gt;0, (AB$30*VALORI!$B$4)+(AB$31*VALORI!$B$4)+(AB$32*VALORI!$B$3)+(AB$33*VALORI!$B$5),0)</f>
        <v>0</v>
      </c>
      <c r="AC58" s="28">
        <f>IF(AC3&gt;0, (AC$30*VALORI!$B$4)+(AC$31*VALORI!$B$4)+(AC$32*VALORI!$B$3)+(AC$33*VALORI!$B$5),0)</f>
        <v>0</v>
      </c>
      <c r="AD58" s="28">
        <f>IF(AD3&gt;0, (AD$30*VALORI!$B$4)+(AD$31*VALORI!$B$4)+(AD$32*VALORI!$B$3)+(AD$33*VALORI!$B$5),0)</f>
        <v>0</v>
      </c>
      <c r="AE58" s="28">
        <f>IF(AE3&gt;0, (AE$30*VALORI!$B$4)+(AE$31*VALORI!$B$4)+(AE$32*VALORI!$B$3)+(AE$33*VALORI!$B$5),0)</f>
        <v>0</v>
      </c>
      <c r="AF58" s="28">
        <f>IF(AF3&gt;0, (AF$30*VALORI!$B$4)+(AF$31*VALORI!$B$4)+(AF$32*VALORI!$B$3)+(AF$33*VALORI!$B$5),0)</f>
        <v>0</v>
      </c>
      <c r="AG58" s="28">
        <f>IF(AG3&gt;0, (AG$30*VALORI!$B$4)+(AG$31*VALORI!$B$4)+(AG$32*VALORI!$B$3)+(AG$33*VALORI!$B$5),0)</f>
        <v>0</v>
      </c>
      <c r="AH58" s="28">
        <f>IF(AH3&gt;0, (AH$30*VALORI!$B$4)+(AH$31*VALORI!$B$4)+(AH$32*VALORI!$B$3)+(AH$33*VALORI!$B$5),0)</f>
        <v>0</v>
      </c>
      <c r="AI58" s="28">
        <f>IF(AI3&gt;0, (AI$30*VALORI!$B$4)+(AI$31*VALORI!$B$4)+(AI$32*VALORI!$B$3)+(AI$33*VALORI!$B$5),0)</f>
        <v>0</v>
      </c>
      <c r="AJ58" s="28">
        <f>IF(AJ3&gt;0, (AJ$30*VALORI!$B$4)+(AJ$31*VALORI!$B$4)+(AJ$32*VALORI!$B$3)+(AJ$33*VALORI!$B$5),0)</f>
        <v>0</v>
      </c>
      <c r="AK58" s="28">
        <f>IF(AK3&gt;0, (AK$30*VALORI!$B$4)+(AK$31*VALORI!$B$4)+(AK$32*VALORI!$B$3)+(AK$33*VALORI!$B$5),0)</f>
        <v>0</v>
      </c>
      <c r="AL58" s="28">
        <f>IF(AL3&gt;0, (AL$30*VALORI!$B$4)+(AL$31*VALORI!$B$4)+(AL$32*VALORI!$B$3)+(AL$33*VALORI!$B$5),0)</f>
        <v>0</v>
      </c>
      <c r="AM58" s="28">
        <f>IF(AM3&gt;0, (AM$30*VALORI!$B$4)+(AM$31*VALORI!$B$4)+(AM$32*VALORI!$B$3)+(AM$33*VALORI!$B$5),0)</f>
        <v>0</v>
      </c>
      <c r="AN58" s="28">
        <f>IF(AN3&gt;0, (AN$30*VALORI!$B$4)+(AN$31*VALORI!$B$4)+(AN$32*VALORI!$B$3)+(AN$33*VALORI!$B$5),0)</f>
        <v>0</v>
      </c>
      <c r="AP58" s="28">
        <f>IF(AP3&gt;0, (AP$30*VALORI!$B$4)+(AP$31*VALORI!$B$4)+(AP$32*VALORI!$B$3)+(AP$33*VALORI!$B$5),0)</f>
        <v>0</v>
      </c>
      <c r="AQ58" s="28">
        <f>IF(AQ3&gt;0, (AQ$30*VALORI!$B$4)+(AQ$31*VALORI!$B$4)+(AQ$32*VALORI!$B$3)+(AQ$33*VALORI!$B$5),0)</f>
        <v>0</v>
      </c>
      <c r="AR58" s="28">
        <f>IF(AR3&gt;0, (AR$30*VALORI!$B$4)+(AR$31*VALORI!$B$4)+(AR$32*VALORI!$B$3)+(AR$33*VALORI!$B$5),0)</f>
        <v>0</v>
      </c>
      <c r="AS58" s="28">
        <f>IF(AS3&gt;0, (AS$30*VALORI!$B$4)+(AS$31*VALORI!$B$4)+(AS$32*VALORI!$B$3)+(AS$33*VALORI!$B$5),0)</f>
        <v>0</v>
      </c>
    </row>
    <row r="59" spans="14:45" ht="15.75" x14ac:dyDescent="0.25">
      <c r="V59" s="28">
        <f>IF(V4&gt;0, (V$30*VALORI!$B$4)+(V$31*VALORI!$B$4)+(V$32*VALORI!$B$3)+(V$33*VALORI!$B$5),0)</f>
        <v>1240</v>
      </c>
      <c r="W59" s="28">
        <f>IF(W4&gt;0, (W$30*VALORI!$B$4)+(W$31*VALORI!$B$4)+(W$32*VALORI!$B$3)+(W$33*VALORI!$B$5),0)</f>
        <v>3720</v>
      </c>
      <c r="X59" s="28">
        <f>IF(X4&gt;0, (X$30*VALORI!$B$4)+(X$31*VALORI!$B$4)+(X$32*VALORI!$B$3)+(X$33*VALORI!$B$5),0)</f>
        <v>0</v>
      </c>
      <c r="Y59" s="28">
        <f>IF(Y4&gt;0, (Y$30*VALORI!$B$4)+(Y$31*VALORI!$B$4)+(Y$32*VALORI!$B$3)+(Y$33*VALORI!$B$5),0)</f>
        <v>0</v>
      </c>
      <c r="Z59" s="28">
        <f>IF(Z4&gt;0, (Z$30*VALORI!$B$4)+(Z$31*VALORI!$B$4)+(Z$32*VALORI!$B$3)+(Z$33*VALORI!$B$5),0)</f>
        <v>0</v>
      </c>
      <c r="AA59" s="28">
        <f>IF(AA4&gt;0, (AA$30*VALORI!$B$4)+(AA$31*VALORI!$B$4)+(AA$32*VALORI!$B$3)+(AA$33*VALORI!$B$5),0)</f>
        <v>0</v>
      </c>
      <c r="AB59" s="28">
        <f>IF(AB4&gt;0, (AB$30*VALORI!$B$4)+(AB$31*VALORI!$B$4)+(AB$32*VALORI!$B$3)+(AB$33*VALORI!$B$5),0)</f>
        <v>0</v>
      </c>
      <c r="AC59" s="28">
        <f>IF(AC4&gt;0, (AC$30*VALORI!$B$4)+(AC$31*VALORI!$B$4)+(AC$32*VALORI!$B$3)+(AC$33*VALORI!$B$5),0)</f>
        <v>0</v>
      </c>
      <c r="AD59" s="28">
        <f>IF(AD4&gt;0, (AD$30*VALORI!$B$4)+(AD$31*VALORI!$B$4)+(AD$32*VALORI!$B$3)+(AD$33*VALORI!$B$5),0)</f>
        <v>0</v>
      </c>
      <c r="AE59" s="28">
        <f>IF(AE4&gt;0, (AE$30*VALORI!$B$4)+(AE$31*VALORI!$B$4)+(AE$32*VALORI!$B$3)+(AE$33*VALORI!$B$5),0)</f>
        <v>0</v>
      </c>
      <c r="AF59" s="28">
        <f>IF(AF4&gt;0, (AF$30*VALORI!$B$4)+(AF$31*VALORI!$B$4)+(AF$32*VALORI!$B$3)+(AF$33*VALORI!$B$5),0)</f>
        <v>0</v>
      </c>
      <c r="AG59" s="28">
        <f>IF(AG4&gt;0, (AG$30*VALORI!$B$4)+(AG$31*VALORI!$B$4)+(AG$32*VALORI!$B$3)+(AG$33*VALORI!$B$5),0)</f>
        <v>0</v>
      </c>
      <c r="AH59" s="28">
        <f>IF(AH4&gt;0, (AH$30*VALORI!$B$4)+(AH$31*VALORI!$B$4)+(AH$32*VALORI!$B$3)+(AH$33*VALORI!$B$5),0)</f>
        <v>0</v>
      </c>
      <c r="AI59" s="28">
        <f>IF(AI4&gt;0, (AI$30*VALORI!$B$4)+(AI$31*VALORI!$B$4)+(AI$32*VALORI!$B$3)+(AI$33*VALORI!$B$5),0)</f>
        <v>0</v>
      </c>
      <c r="AJ59" s="28">
        <f>IF(AJ4&gt;0, (AJ$30*VALORI!$B$4)+(AJ$31*VALORI!$B$4)+(AJ$32*VALORI!$B$3)+(AJ$33*VALORI!$B$5),0)</f>
        <v>0</v>
      </c>
      <c r="AK59" s="28">
        <f>IF(AK4&gt;0, (AK$30*VALORI!$B$4)+(AK$31*VALORI!$B$4)+(AK$32*VALORI!$B$3)+(AK$33*VALORI!$B$5),0)</f>
        <v>0</v>
      </c>
      <c r="AL59" s="28">
        <f>IF(AL4&gt;0, (AL$30*VALORI!$B$4)+(AL$31*VALORI!$B$4)+(AL$32*VALORI!$B$3)+(AL$33*VALORI!$B$5),0)</f>
        <v>0</v>
      </c>
      <c r="AM59" s="28">
        <f>IF(AM4&gt;0, (AM$30*VALORI!$B$4)+(AM$31*VALORI!$B$4)+(AM$32*VALORI!$B$3)+(AM$33*VALORI!$B$5),0)</f>
        <v>0</v>
      </c>
      <c r="AN59" s="28">
        <f>IF(AN4&gt;0, (AN$30*VALORI!$B$4)+(AN$31*VALORI!$B$4)+(AN$32*VALORI!$B$3)+(AN$33*VALORI!$B$5),0)</f>
        <v>0</v>
      </c>
      <c r="AP59" s="28">
        <f>IF(AP4&gt;0, (AP$30*VALORI!$B$4)+(AP$31*VALORI!$B$4)+(AP$32*VALORI!$B$3)+(AP$33*VALORI!$B$5),0)</f>
        <v>0</v>
      </c>
      <c r="AQ59" s="28">
        <f>IF(AQ4&gt;0, (AQ$30*VALORI!$B$4)+(AQ$31*VALORI!$B$4)+(AQ$32*VALORI!$B$3)+(AQ$33*VALORI!$B$5),0)</f>
        <v>0</v>
      </c>
      <c r="AR59" s="28">
        <f>IF(AR4&gt;0, (AR$30*VALORI!$B$4)+(AR$31*VALORI!$B$4)+(AR$32*VALORI!$B$3)+(AR$33*VALORI!$B$5),0)</f>
        <v>0</v>
      </c>
      <c r="AS59" s="28">
        <f>IF(AS4&gt;0, (AS$30*VALORI!$B$4)+(AS$31*VALORI!$B$4)+(AS$32*VALORI!$B$3)+(AS$33*VALORI!$B$5),0)</f>
        <v>0</v>
      </c>
    </row>
    <row r="60" spans="14:45" ht="15.75" x14ac:dyDescent="0.25">
      <c r="V60" s="28">
        <f>IF(V5&gt;0, (V$30*VALORI!$B$4)+(V$31*VALORI!$B$4)+(V$32*VALORI!$B$3)+(V$33*VALORI!$B$5),0)</f>
        <v>1240</v>
      </c>
      <c r="W60" s="28">
        <f>IF(W5&gt;0, (W$30*VALORI!$B$4)+(W$31*VALORI!$B$4)+(W$32*VALORI!$B$3)+(W$33*VALORI!$B$5),0)</f>
        <v>3720</v>
      </c>
      <c r="X60" s="28">
        <f>IF(X5&gt;0, (X$30*VALORI!$B$4)+(X$31*VALORI!$B$4)+(X$32*VALORI!$B$3)+(X$33*VALORI!$B$5),0)</f>
        <v>0</v>
      </c>
      <c r="Y60" s="28">
        <f>IF(Y5&gt;0, (Y$30*VALORI!$B$4)+(Y$31*VALORI!$B$4)+(Y$32*VALORI!$B$3)+(Y$33*VALORI!$B$5),0)</f>
        <v>0</v>
      </c>
      <c r="Z60" s="28">
        <f>IF(Z5&gt;0, (Z$30*VALORI!$B$4)+(Z$31*VALORI!$B$4)+(Z$32*VALORI!$B$3)+(Z$33*VALORI!$B$5),0)</f>
        <v>0</v>
      </c>
      <c r="AA60" s="28">
        <f>IF(AA5&gt;0, (AA$30*VALORI!$B$4)+(AA$31*VALORI!$B$4)+(AA$32*VALORI!$B$3)+(AA$33*VALORI!$B$5),0)</f>
        <v>0</v>
      </c>
      <c r="AB60" s="28">
        <f>IF(AB5&gt;0, (AB$30*VALORI!$B$4)+(AB$31*VALORI!$B$4)+(AB$32*VALORI!$B$3)+(AB$33*VALORI!$B$5),0)</f>
        <v>0</v>
      </c>
      <c r="AC60" s="28">
        <f>IF(AC5&gt;0, (AC$30*VALORI!$B$4)+(AC$31*VALORI!$B$4)+(AC$32*VALORI!$B$3)+(AC$33*VALORI!$B$5),0)</f>
        <v>0</v>
      </c>
      <c r="AD60" s="28">
        <f>IF(AD5&gt;0, (AD$30*VALORI!$B$4)+(AD$31*VALORI!$B$4)+(AD$32*VALORI!$B$3)+(AD$33*VALORI!$B$5),0)</f>
        <v>0</v>
      </c>
      <c r="AE60" s="28">
        <f>IF(AE5&gt;0, (AE$30*VALORI!$B$4)+(AE$31*VALORI!$B$4)+(AE$32*VALORI!$B$3)+(AE$33*VALORI!$B$5),0)</f>
        <v>0</v>
      </c>
      <c r="AF60" s="28">
        <f>IF(AF5&gt;0, (AF$30*VALORI!$B$4)+(AF$31*VALORI!$B$4)+(AF$32*VALORI!$B$3)+(AF$33*VALORI!$B$5),0)</f>
        <v>0</v>
      </c>
      <c r="AG60" s="28">
        <f>IF(AG5&gt;0, (AG$30*VALORI!$B$4)+(AG$31*VALORI!$B$4)+(AG$32*VALORI!$B$3)+(AG$33*VALORI!$B$5),0)</f>
        <v>0</v>
      </c>
      <c r="AH60" s="28">
        <f>IF(AH5&gt;0, (AH$30*VALORI!$B$4)+(AH$31*VALORI!$B$4)+(AH$32*VALORI!$B$3)+(AH$33*VALORI!$B$5),0)</f>
        <v>0</v>
      </c>
      <c r="AI60" s="28">
        <f>IF(AI5&gt;0, (AI$30*VALORI!$B$4)+(AI$31*VALORI!$B$4)+(AI$32*VALORI!$B$3)+(AI$33*VALORI!$B$5),0)</f>
        <v>0</v>
      </c>
      <c r="AJ60" s="28">
        <f>IF(AJ5&gt;0, (AJ$30*VALORI!$B$4)+(AJ$31*VALORI!$B$4)+(AJ$32*VALORI!$B$3)+(AJ$33*VALORI!$B$5),0)</f>
        <v>0</v>
      </c>
      <c r="AK60" s="28">
        <f>IF(AK5&gt;0, (AK$30*VALORI!$B$4)+(AK$31*VALORI!$B$4)+(AK$32*VALORI!$B$3)+(AK$33*VALORI!$B$5),0)</f>
        <v>0</v>
      </c>
      <c r="AL60" s="28">
        <f>IF(AL5&gt;0, (AL$30*VALORI!$B$4)+(AL$31*VALORI!$B$4)+(AL$32*VALORI!$B$3)+(AL$33*VALORI!$B$5),0)</f>
        <v>0</v>
      </c>
      <c r="AM60" s="28">
        <f>IF(AM5&gt;0, (AM$30*VALORI!$B$4)+(AM$31*VALORI!$B$4)+(AM$32*VALORI!$B$3)+(AM$33*VALORI!$B$5),0)</f>
        <v>0</v>
      </c>
      <c r="AN60" s="28">
        <f>IF(AN5&gt;0, (AN$30*VALORI!$B$4)+(AN$31*VALORI!$B$4)+(AN$32*VALORI!$B$3)+(AN$33*VALORI!$B$5),0)</f>
        <v>0</v>
      </c>
      <c r="AP60" s="28">
        <f>IF(AP5&gt;0, (AP$30*VALORI!$B$4)+(AP$31*VALORI!$B$4)+(AP$32*VALORI!$B$3)+(AP$33*VALORI!$B$5),0)</f>
        <v>0</v>
      </c>
      <c r="AQ60" s="28">
        <f>IF(AQ5&gt;0, (AQ$30*VALORI!$B$4)+(AQ$31*VALORI!$B$4)+(AQ$32*VALORI!$B$3)+(AQ$33*VALORI!$B$5),0)</f>
        <v>0</v>
      </c>
      <c r="AR60" s="28">
        <f>IF(AR5&gt;0, (AR$30*VALORI!$B$4)+(AR$31*VALORI!$B$4)+(AR$32*VALORI!$B$3)+(AR$33*VALORI!$B$5),0)</f>
        <v>0</v>
      </c>
      <c r="AS60" s="28">
        <f>IF(AS5&gt;0, (AS$30*VALORI!$B$4)+(AS$31*VALORI!$B$4)+(AS$32*VALORI!$B$3)+(AS$33*VALORI!$B$5),0)</f>
        <v>0</v>
      </c>
    </row>
    <row r="61" spans="14:45" ht="15.75" x14ac:dyDescent="0.25">
      <c r="V61" s="28">
        <f>IF(V6&gt;0, (V$30*VALORI!$B$4)+(V$31*VALORI!$B$4)+(V$32*VALORI!$B$3)+(V$33*VALORI!$B$5),0)</f>
        <v>1240</v>
      </c>
      <c r="W61" s="28">
        <f>IF(W6&gt;0, (W$30*VALORI!$B$4)+(W$31*VALORI!$B$4)+(W$32*VALORI!$B$3)+(W$33*VALORI!$B$5),0)</f>
        <v>3720</v>
      </c>
      <c r="X61" s="28">
        <f>IF(X6&gt;0, (X$30*VALORI!$B$4)+(X$31*VALORI!$B$4)+(X$32*VALORI!$B$3)+(X$33*VALORI!$B$5),0)</f>
        <v>992</v>
      </c>
      <c r="Y61" s="28">
        <f>IF(Y6&gt;0, (Y$30*VALORI!$B$4)+(Y$31*VALORI!$B$4)+(Y$32*VALORI!$B$3)+(Y$33*VALORI!$B$5),0)</f>
        <v>992</v>
      </c>
      <c r="Z61" s="28">
        <f>IF(Z6&gt;0, (Z$30*VALORI!$B$4)+(Z$31*VALORI!$B$4)+(Z$32*VALORI!$B$3)+(Z$33*VALORI!$B$5),0)</f>
        <v>642</v>
      </c>
      <c r="AA61" s="28">
        <f>IF(AA6&gt;0, (AA$30*VALORI!$B$4)+(AA$31*VALORI!$B$4)+(AA$32*VALORI!$B$3)+(AA$33*VALORI!$B$5),0)</f>
        <v>0</v>
      </c>
      <c r="AB61" s="28">
        <f>IF(AB6&gt;0, (AB$30*VALORI!$B$4)+(AB$31*VALORI!$B$4)+(AB$32*VALORI!$B$3)+(AB$33*VALORI!$B$5),0)</f>
        <v>0</v>
      </c>
      <c r="AC61" s="28">
        <f>IF(AC6&gt;0, (AC$30*VALORI!$B$4)+(AC$31*VALORI!$B$4)+(AC$32*VALORI!$B$3)+(AC$33*VALORI!$B$5),0)</f>
        <v>0</v>
      </c>
      <c r="AD61" s="28">
        <f>IF(AD6&gt;0, (AD$30*VALORI!$B$4)+(AD$31*VALORI!$B$4)+(AD$32*VALORI!$B$3)+(AD$33*VALORI!$B$5),0)</f>
        <v>0</v>
      </c>
      <c r="AE61" s="28">
        <f>IF(AE6&gt;0, (AE$30*VALORI!$B$4)+(AE$31*VALORI!$B$4)+(AE$32*VALORI!$B$3)+(AE$33*VALORI!$B$5),0)</f>
        <v>0</v>
      </c>
      <c r="AF61" s="28">
        <f>IF(AF6&gt;0, (AF$30*VALORI!$B$4)+(AF$31*VALORI!$B$4)+(AF$32*VALORI!$B$3)+(AF$33*VALORI!$B$5),0)</f>
        <v>0</v>
      </c>
      <c r="AG61" s="28">
        <f>IF(AG6&gt;0, (AG$30*VALORI!$B$4)+(AG$31*VALORI!$B$4)+(AG$32*VALORI!$B$3)+(AG$33*VALORI!$B$5),0)</f>
        <v>0</v>
      </c>
      <c r="AH61" s="28">
        <f>IF(AH6&gt;0, (AH$30*VALORI!$B$4)+(AH$31*VALORI!$B$4)+(AH$32*VALORI!$B$3)+(AH$33*VALORI!$B$5),0)</f>
        <v>0</v>
      </c>
      <c r="AI61" s="28">
        <f>IF(AI6&gt;0, (AI$30*VALORI!$B$4)+(AI$31*VALORI!$B$4)+(AI$32*VALORI!$B$3)+(AI$33*VALORI!$B$5),0)</f>
        <v>0</v>
      </c>
      <c r="AJ61" s="28">
        <f>IF(AJ6&gt;0, (AJ$30*VALORI!$B$4)+(AJ$31*VALORI!$B$4)+(AJ$32*VALORI!$B$3)+(AJ$33*VALORI!$B$5),0)</f>
        <v>0</v>
      </c>
      <c r="AK61" s="28">
        <f>IF(AK6&gt;0, (AK$30*VALORI!$B$4)+(AK$31*VALORI!$B$4)+(AK$32*VALORI!$B$3)+(AK$33*VALORI!$B$5),0)</f>
        <v>0</v>
      </c>
      <c r="AL61" s="28">
        <f>IF(AL6&gt;0, (AL$30*VALORI!$B$4)+(AL$31*VALORI!$B$4)+(AL$32*VALORI!$B$3)+(AL$33*VALORI!$B$5),0)</f>
        <v>0</v>
      </c>
      <c r="AM61" s="28">
        <f>IF(AM6&gt;0, (AM$30*VALORI!$B$4)+(AM$31*VALORI!$B$4)+(AM$32*VALORI!$B$3)+(AM$33*VALORI!$B$5),0)</f>
        <v>0</v>
      </c>
      <c r="AN61" s="28">
        <f>IF(AN6&gt;0, (AN$30*VALORI!$B$4)+(AN$31*VALORI!$B$4)+(AN$32*VALORI!$B$3)+(AN$33*VALORI!$B$5),0)</f>
        <v>0</v>
      </c>
      <c r="AP61" s="28">
        <f>IF(AP6&gt;0, (AP$30*VALORI!$B$4)+(AP$31*VALORI!$B$4)+(AP$32*VALORI!$B$3)+(AP$33*VALORI!$B$5),0)</f>
        <v>0</v>
      </c>
      <c r="AQ61" s="28">
        <f>IF(AQ6&gt;0, (AQ$30*VALORI!$B$4)+(AQ$31*VALORI!$B$4)+(AQ$32*VALORI!$B$3)+(AQ$33*VALORI!$B$5),0)</f>
        <v>0</v>
      </c>
      <c r="AR61" s="28">
        <f>IF(AR6&gt;0, (AR$30*VALORI!$B$4)+(AR$31*VALORI!$B$4)+(AR$32*VALORI!$B$3)+(AR$33*VALORI!$B$5),0)</f>
        <v>0</v>
      </c>
      <c r="AS61" s="28">
        <f>IF(AS6&gt;0, (AS$30*VALORI!$B$4)+(AS$31*VALORI!$B$4)+(AS$32*VALORI!$B$3)+(AS$33*VALORI!$B$5),0)</f>
        <v>0</v>
      </c>
    </row>
    <row r="62" spans="14:45" ht="15.75" x14ac:dyDescent="0.25">
      <c r="V62" s="28">
        <f>IF(V7&gt;0, (V$30*VALORI!$B$4)+(V$31*VALORI!$B$4)+(V$32*VALORI!$B$3)+(V$33*VALORI!$B$5),0)</f>
        <v>1240</v>
      </c>
      <c r="W62" s="28">
        <f>IF(W7&gt;0, (W$30*VALORI!$B$4)+(W$31*VALORI!$B$4)+(W$32*VALORI!$B$3)+(W$33*VALORI!$B$5),0)</f>
        <v>3720</v>
      </c>
      <c r="X62" s="28">
        <f>IF(X7&gt;0, (X$30*VALORI!$B$4)+(X$31*VALORI!$B$4)+(X$32*VALORI!$B$3)+(X$33*VALORI!$B$5),0)</f>
        <v>992</v>
      </c>
      <c r="Y62" s="28">
        <f>IF(Y7&gt;0, (Y$30*VALORI!$B$4)+(Y$31*VALORI!$B$4)+(Y$32*VALORI!$B$3)+(Y$33*VALORI!$B$5),0)</f>
        <v>992</v>
      </c>
      <c r="Z62" s="28">
        <f>IF(Z7&gt;0, (Z$30*VALORI!$B$4)+(Z$31*VALORI!$B$4)+(Z$32*VALORI!$B$3)+(Z$33*VALORI!$B$5),0)</f>
        <v>642</v>
      </c>
      <c r="AA62" s="28">
        <f>IF(AA7&gt;0, (AA$30*VALORI!$B$4)+(AA$31*VALORI!$B$4)+(AA$32*VALORI!$B$3)+(AA$33*VALORI!$B$5),0)</f>
        <v>0</v>
      </c>
      <c r="AB62" s="28">
        <f>IF(AB7&gt;0, (AB$30*VALORI!$B$4)+(AB$31*VALORI!$B$4)+(AB$32*VALORI!$B$3)+(AB$33*VALORI!$B$5),0)</f>
        <v>0</v>
      </c>
      <c r="AC62" s="28">
        <f>IF(AC7&gt;0, (AC$30*VALORI!$B$4)+(AC$31*VALORI!$B$4)+(AC$32*VALORI!$B$3)+(AC$33*VALORI!$B$5),0)</f>
        <v>0</v>
      </c>
      <c r="AD62" s="28">
        <f>IF(AD7&gt;0, (AD$30*VALORI!$B$4)+(AD$31*VALORI!$B$4)+(AD$32*VALORI!$B$3)+(AD$33*VALORI!$B$5),0)</f>
        <v>0</v>
      </c>
      <c r="AE62" s="28">
        <f>IF(AE7&gt;0, (AE$30*VALORI!$B$4)+(AE$31*VALORI!$B$4)+(AE$32*VALORI!$B$3)+(AE$33*VALORI!$B$5),0)</f>
        <v>0</v>
      </c>
      <c r="AF62" s="28">
        <f>IF(AF7&gt;0, (AF$30*VALORI!$B$4)+(AF$31*VALORI!$B$4)+(AF$32*VALORI!$B$3)+(AF$33*VALORI!$B$5),0)</f>
        <v>0</v>
      </c>
      <c r="AG62" s="28">
        <f>IF(AG7&gt;0, (AG$30*VALORI!$B$4)+(AG$31*VALORI!$B$4)+(AG$32*VALORI!$B$3)+(AG$33*VALORI!$B$5),0)</f>
        <v>0</v>
      </c>
      <c r="AH62" s="28">
        <f>IF(AH7&gt;0, (AH$30*VALORI!$B$4)+(AH$31*VALORI!$B$4)+(AH$32*VALORI!$B$3)+(AH$33*VALORI!$B$5),0)</f>
        <v>0</v>
      </c>
      <c r="AI62" s="28">
        <f>IF(AI7&gt;0, (AI$30*VALORI!$B$4)+(AI$31*VALORI!$B$4)+(AI$32*VALORI!$B$3)+(AI$33*VALORI!$B$5),0)</f>
        <v>0</v>
      </c>
      <c r="AJ62" s="28">
        <f>IF(AJ7&gt;0, (AJ$30*VALORI!$B$4)+(AJ$31*VALORI!$B$4)+(AJ$32*VALORI!$B$3)+(AJ$33*VALORI!$B$5),0)</f>
        <v>0</v>
      </c>
      <c r="AK62" s="28">
        <f>IF(AK7&gt;0, (AK$30*VALORI!$B$4)+(AK$31*VALORI!$B$4)+(AK$32*VALORI!$B$3)+(AK$33*VALORI!$B$5),0)</f>
        <v>0</v>
      </c>
      <c r="AL62" s="28">
        <f>IF(AL7&gt;0, (AL$30*VALORI!$B$4)+(AL$31*VALORI!$B$4)+(AL$32*VALORI!$B$3)+(AL$33*VALORI!$B$5),0)</f>
        <v>0</v>
      </c>
      <c r="AM62" s="28">
        <f>IF(AM7&gt;0, (AM$30*VALORI!$B$4)+(AM$31*VALORI!$B$4)+(AM$32*VALORI!$B$3)+(AM$33*VALORI!$B$5),0)</f>
        <v>0</v>
      </c>
      <c r="AN62" s="28">
        <f>IF(AN7&gt;0, (AN$30*VALORI!$B$4)+(AN$31*VALORI!$B$4)+(AN$32*VALORI!$B$3)+(AN$33*VALORI!$B$5),0)</f>
        <v>0</v>
      </c>
      <c r="AP62" s="28">
        <f>IF(AP7&gt;0, (AP$30*VALORI!$B$4)+(AP$31*VALORI!$B$4)+(AP$32*VALORI!$B$3)+(AP$33*VALORI!$B$5),0)</f>
        <v>0</v>
      </c>
      <c r="AQ62" s="28">
        <f>IF(AQ7&gt;0, (AQ$30*VALORI!$B$4)+(AQ$31*VALORI!$B$4)+(AQ$32*VALORI!$B$3)+(AQ$33*VALORI!$B$5),0)</f>
        <v>0</v>
      </c>
      <c r="AR62" s="28">
        <f>IF(AR7&gt;0, (AR$30*VALORI!$B$4)+(AR$31*VALORI!$B$4)+(AR$32*VALORI!$B$3)+(AR$33*VALORI!$B$5),0)</f>
        <v>0</v>
      </c>
      <c r="AS62" s="28">
        <f>IF(AS7&gt;0, (AS$30*VALORI!$B$4)+(AS$31*VALORI!$B$4)+(AS$32*VALORI!$B$3)+(AS$33*VALORI!$B$5),0)</f>
        <v>0</v>
      </c>
    </row>
    <row r="63" spans="14:45" ht="15.75" x14ac:dyDescent="0.25">
      <c r="V63" s="28">
        <f>IF(V8&gt;0, (V$30*VALORI!$B$4)+(V$31*VALORI!$B$4)+(V$32*VALORI!$B$3)+(V$33*VALORI!$B$5),0)</f>
        <v>1240</v>
      </c>
      <c r="W63" s="28">
        <f>IF(W8&gt;0, (W$30*VALORI!$B$4)+(W$31*VALORI!$B$4)+(W$32*VALORI!$B$3)+(W$33*VALORI!$B$5),0)</f>
        <v>3720</v>
      </c>
      <c r="X63" s="28">
        <f>IF(X8&gt;0, (X$30*VALORI!$B$4)+(X$31*VALORI!$B$4)+(X$32*VALORI!$B$3)+(X$33*VALORI!$B$5),0)</f>
        <v>992</v>
      </c>
      <c r="Y63" s="28">
        <f>IF(Y8&gt;0, (Y$30*VALORI!$B$4)+(Y$31*VALORI!$B$4)+(Y$32*VALORI!$B$3)+(Y$33*VALORI!$B$5),0)</f>
        <v>992</v>
      </c>
      <c r="Z63" s="28">
        <f>IF(Z8&gt;0, (Z$30*VALORI!$B$4)+(Z$31*VALORI!$B$4)+(Z$32*VALORI!$B$3)+(Z$33*VALORI!$B$5),0)</f>
        <v>642</v>
      </c>
      <c r="AA63" s="28">
        <f>IF(AA8&gt;0, (AA$30*VALORI!$B$4)+(AA$31*VALORI!$B$4)+(AA$32*VALORI!$B$3)+(AA$33*VALORI!$B$5),0)</f>
        <v>0</v>
      </c>
      <c r="AB63" s="28">
        <f>IF(AB8&gt;0, (AB$30*VALORI!$B$4)+(AB$31*VALORI!$B$4)+(AB$32*VALORI!$B$3)+(AB$33*VALORI!$B$5),0)</f>
        <v>0</v>
      </c>
      <c r="AC63" s="28">
        <f>IF(AC8&gt;0, (AC$30*VALORI!$B$4)+(AC$31*VALORI!$B$4)+(AC$32*VALORI!$B$3)+(AC$33*VALORI!$B$5),0)</f>
        <v>0</v>
      </c>
      <c r="AD63" s="28">
        <f>IF(AD8&gt;0, (AD$30*VALORI!$B$4)+(AD$31*VALORI!$B$4)+(AD$32*VALORI!$B$3)+(AD$33*VALORI!$B$5),0)</f>
        <v>0</v>
      </c>
      <c r="AE63" s="28">
        <f>IF(AE8&gt;0, (AE$30*VALORI!$B$4)+(AE$31*VALORI!$B$4)+(AE$32*VALORI!$B$3)+(AE$33*VALORI!$B$5),0)</f>
        <v>0</v>
      </c>
      <c r="AF63" s="28">
        <f>IF(AF8&gt;0, (AF$30*VALORI!$B$4)+(AF$31*VALORI!$B$4)+(AF$32*VALORI!$B$3)+(AF$33*VALORI!$B$5),0)</f>
        <v>0</v>
      </c>
      <c r="AG63" s="28">
        <f>IF(AG8&gt;0, (AG$30*VALORI!$B$4)+(AG$31*VALORI!$B$4)+(AG$32*VALORI!$B$3)+(AG$33*VALORI!$B$5),0)</f>
        <v>0</v>
      </c>
      <c r="AH63" s="28">
        <f>IF(AH8&gt;0, (AH$30*VALORI!$B$4)+(AH$31*VALORI!$B$4)+(AH$32*VALORI!$B$3)+(AH$33*VALORI!$B$5),0)</f>
        <v>0</v>
      </c>
      <c r="AI63" s="28">
        <f>IF(AI8&gt;0, (AI$30*VALORI!$B$4)+(AI$31*VALORI!$B$4)+(AI$32*VALORI!$B$3)+(AI$33*VALORI!$B$5),0)</f>
        <v>0</v>
      </c>
      <c r="AJ63" s="28">
        <f>IF(AJ8&gt;0, (AJ$30*VALORI!$B$4)+(AJ$31*VALORI!$B$4)+(AJ$32*VALORI!$B$3)+(AJ$33*VALORI!$B$5),0)</f>
        <v>0</v>
      </c>
      <c r="AK63" s="28">
        <f>IF(AK8&gt;0, (AK$30*VALORI!$B$4)+(AK$31*VALORI!$B$4)+(AK$32*VALORI!$B$3)+(AK$33*VALORI!$B$5),0)</f>
        <v>0</v>
      </c>
      <c r="AL63" s="28">
        <f>IF(AL8&gt;0, (AL$30*VALORI!$B$4)+(AL$31*VALORI!$B$4)+(AL$32*VALORI!$B$3)+(AL$33*VALORI!$B$5),0)</f>
        <v>0</v>
      </c>
      <c r="AM63" s="28">
        <f>IF(AM8&gt;0, (AM$30*VALORI!$B$4)+(AM$31*VALORI!$B$4)+(AM$32*VALORI!$B$3)+(AM$33*VALORI!$B$5),0)</f>
        <v>0</v>
      </c>
      <c r="AN63" s="28">
        <f>IF(AN8&gt;0, (AN$30*VALORI!$B$4)+(AN$31*VALORI!$B$4)+(AN$32*VALORI!$B$3)+(AN$33*VALORI!$B$5),0)</f>
        <v>0</v>
      </c>
      <c r="AP63" s="28">
        <f>IF(AP8&gt;0, (AP$30*VALORI!$B$4)+(AP$31*VALORI!$B$4)+(AP$32*VALORI!$B$3)+(AP$33*VALORI!$B$5),0)</f>
        <v>0</v>
      </c>
      <c r="AQ63" s="28">
        <f>IF(AQ8&gt;0, (AQ$30*VALORI!$B$4)+(AQ$31*VALORI!$B$4)+(AQ$32*VALORI!$B$3)+(AQ$33*VALORI!$B$5),0)</f>
        <v>0</v>
      </c>
      <c r="AR63" s="28">
        <f>IF(AR8&gt;0, (AR$30*VALORI!$B$4)+(AR$31*VALORI!$B$4)+(AR$32*VALORI!$B$3)+(AR$33*VALORI!$B$5),0)</f>
        <v>0</v>
      </c>
      <c r="AS63" s="28">
        <f>IF(AS8&gt;0, (AS$30*VALORI!$B$4)+(AS$31*VALORI!$B$4)+(AS$32*VALORI!$B$3)+(AS$33*VALORI!$B$5),0)</f>
        <v>0</v>
      </c>
    </row>
    <row r="64" spans="14:45" ht="15.75" x14ac:dyDescent="0.25">
      <c r="V64" s="28">
        <f>IF(V9&gt;0, (V$30*VALORI!$B$4)+(V$31*VALORI!$B$4)+(V$32*VALORI!$B$3)+(V$33*VALORI!$B$5),0)</f>
        <v>1240</v>
      </c>
      <c r="W64" s="28">
        <f>IF(W9&gt;0, (W$30*VALORI!$B$4)+(W$31*VALORI!$B$4)+(W$32*VALORI!$B$3)+(W$33*VALORI!$B$5),0)</f>
        <v>3720</v>
      </c>
      <c r="X64" s="28">
        <f>IF(X9&gt;0, (X$30*VALORI!$B$4)+(X$31*VALORI!$B$4)+(X$32*VALORI!$B$3)+(X$33*VALORI!$B$5),0)</f>
        <v>992</v>
      </c>
      <c r="Y64" s="28">
        <f>IF(Y9&gt;0, (Y$30*VALORI!$B$4)+(Y$31*VALORI!$B$4)+(Y$32*VALORI!$B$3)+(Y$33*VALORI!$B$5),0)</f>
        <v>992</v>
      </c>
      <c r="Z64" s="28">
        <f>IF(Z9&gt;0, (Z$30*VALORI!$B$4)+(Z$31*VALORI!$B$4)+(Z$32*VALORI!$B$3)+(Z$33*VALORI!$B$5),0)</f>
        <v>642</v>
      </c>
      <c r="AA64" s="28">
        <f>IF(AA9&gt;0, (AA$30*VALORI!$B$4)+(AA$31*VALORI!$B$4)+(AA$32*VALORI!$B$3)+(AA$33*VALORI!$B$5),0)</f>
        <v>0</v>
      </c>
      <c r="AB64" s="28">
        <f>IF(AB9&gt;0, (AB$30*VALORI!$B$4)+(AB$31*VALORI!$B$4)+(AB$32*VALORI!$B$3)+(AB$33*VALORI!$B$5),0)</f>
        <v>0</v>
      </c>
      <c r="AC64" s="28">
        <f>IF(AC9&gt;0, (AC$30*VALORI!$B$4)+(AC$31*VALORI!$B$4)+(AC$32*VALORI!$B$3)+(AC$33*VALORI!$B$5),0)</f>
        <v>0</v>
      </c>
      <c r="AD64" s="28">
        <f>IF(AD9&gt;0, (AD$30*VALORI!$B$4)+(AD$31*VALORI!$B$4)+(AD$32*VALORI!$B$3)+(AD$33*VALORI!$B$5),0)</f>
        <v>0</v>
      </c>
      <c r="AE64" s="28">
        <f>IF(AE9&gt;0, (AE$30*VALORI!$B$4)+(AE$31*VALORI!$B$4)+(AE$32*VALORI!$B$3)+(AE$33*VALORI!$B$5),0)</f>
        <v>0</v>
      </c>
      <c r="AF64" s="28">
        <f>IF(AF9&gt;0, (AF$30*VALORI!$B$4)+(AF$31*VALORI!$B$4)+(AF$32*VALORI!$B$3)+(AF$33*VALORI!$B$5),0)</f>
        <v>0</v>
      </c>
      <c r="AG64" s="28">
        <f>IF(AG9&gt;0, (AG$30*VALORI!$B$4)+(AG$31*VALORI!$B$4)+(AG$32*VALORI!$B$3)+(AG$33*VALORI!$B$5),0)</f>
        <v>0</v>
      </c>
      <c r="AH64" s="28">
        <f>IF(AH9&gt;0, (AH$30*VALORI!$B$4)+(AH$31*VALORI!$B$4)+(AH$32*VALORI!$B$3)+(AH$33*VALORI!$B$5),0)</f>
        <v>0</v>
      </c>
      <c r="AI64" s="28">
        <f>IF(AI9&gt;0, (AI$30*VALORI!$B$4)+(AI$31*VALORI!$B$4)+(AI$32*VALORI!$B$3)+(AI$33*VALORI!$B$5),0)</f>
        <v>0</v>
      </c>
      <c r="AJ64" s="28">
        <f>IF(AJ9&gt;0, (AJ$30*VALORI!$B$4)+(AJ$31*VALORI!$B$4)+(AJ$32*VALORI!$B$3)+(AJ$33*VALORI!$B$5),0)</f>
        <v>0</v>
      </c>
      <c r="AK64" s="28">
        <f>IF(AK9&gt;0, (AK$30*VALORI!$B$4)+(AK$31*VALORI!$B$4)+(AK$32*VALORI!$B$3)+(AK$33*VALORI!$B$5),0)</f>
        <v>0</v>
      </c>
      <c r="AL64" s="28">
        <f>IF(AL9&gt;0, (AL$30*VALORI!$B$4)+(AL$31*VALORI!$B$4)+(AL$32*VALORI!$B$3)+(AL$33*VALORI!$B$5),0)</f>
        <v>0</v>
      </c>
      <c r="AM64" s="28">
        <f>IF(AM9&gt;0, (AM$30*VALORI!$B$4)+(AM$31*VALORI!$B$4)+(AM$32*VALORI!$B$3)+(AM$33*VALORI!$B$5),0)</f>
        <v>0</v>
      </c>
      <c r="AN64" s="28">
        <f>IF(AN9&gt;0, (AN$30*VALORI!$B$4)+(AN$31*VALORI!$B$4)+(AN$32*VALORI!$B$3)+(AN$33*VALORI!$B$5),0)</f>
        <v>0</v>
      </c>
      <c r="AP64" s="28">
        <f>IF(AP9&gt;0, (AP$30*VALORI!$B$4)+(AP$31*VALORI!$B$4)+(AP$32*VALORI!$B$3)+(AP$33*VALORI!$B$5),0)</f>
        <v>0</v>
      </c>
      <c r="AQ64" s="28">
        <f>IF(AQ9&gt;0, (AQ$30*VALORI!$B$4)+(AQ$31*VALORI!$B$4)+(AQ$32*VALORI!$B$3)+(AQ$33*VALORI!$B$5),0)</f>
        <v>0</v>
      </c>
      <c r="AR64" s="28">
        <f>IF(AR9&gt;0, (AR$30*VALORI!$B$4)+(AR$31*VALORI!$B$4)+(AR$32*VALORI!$B$3)+(AR$33*VALORI!$B$5),0)</f>
        <v>0</v>
      </c>
      <c r="AS64" s="28">
        <f>IF(AS9&gt;0, (AS$30*VALORI!$B$4)+(AS$31*VALORI!$B$4)+(AS$32*VALORI!$B$3)+(AS$33*VALORI!$B$5),0)</f>
        <v>0</v>
      </c>
    </row>
    <row r="65" spans="22:45" ht="15.75" x14ac:dyDescent="0.25">
      <c r="V65" s="28">
        <f>IF(V10&gt;0, (V$30*VALORI!$B$4)+(V$31*VALORI!$B$4)+(V$32*VALORI!$B$3)+(V$33*VALORI!$B$5),0)</f>
        <v>1240</v>
      </c>
      <c r="W65" s="28">
        <f>IF(W10&gt;0, (W$30*VALORI!$B$4)+(W$31*VALORI!$B$4)+(W$32*VALORI!$B$3)+(W$33*VALORI!$B$5),0)</f>
        <v>3720</v>
      </c>
      <c r="X65" s="28">
        <f>IF(X10&gt;0, (X$30*VALORI!$B$4)+(X$31*VALORI!$B$4)+(X$32*VALORI!$B$3)+(X$33*VALORI!$B$5),0)</f>
        <v>992</v>
      </c>
      <c r="Y65" s="28">
        <f>IF(Y10&gt;0, (Y$30*VALORI!$B$4)+(Y$31*VALORI!$B$4)+(Y$32*VALORI!$B$3)+(Y$33*VALORI!$B$5),0)</f>
        <v>992</v>
      </c>
      <c r="Z65" s="28">
        <f>IF(Z10&gt;0, (Z$30*VALORI!$B$4)+(Z$31*VALORI!$B$4)+(Z$32*VALORI!$B$3)+(Z$33*VALORI!$B$5),0)</f>
        <v>642</v>
      </c>
      <c r="AA65" s="28">
        <f>IF(AA10&gt;0, (AA$30*VALORI!$B$4)+(AA$31*VALORI!$B$4)+(AA$32*VALORI!$B$3)+(AA$33*VALORI!$B$5),0)</f>
        <v>0</v>
      </c>
      <c r="AB65" s="28">
        <f>IF(AB10&gt;0, (AB$30*VALORI!$B$4)+(AB$31*VALORI!$B$4)+(AB$32*VALORI!$B$3)+(AB$33*VALORI!$B$5),0)</f>
        <v>0</v>
      </c>
      <c r="AC65" s="28">
        <f>IF(AC10&gt;0, (AC$30*VALORI!$B$4)+(AC$31*VALORI!$B$4)+(AC$32*VALORI!$B$3)+(AC$33*VALORI!$B$5),0)</f>
        <v>0</v>
      </c>
      <c r="AD65" s="28">
        <f>IF(AD10&gt;0, (AD$30*VALORI!$B$4)+(AD$31*VALORI!$B$4)+(AD$32*VALORI!$B$3)+(AD$33*VALORI!$B$5),0)</f>
        <v>0</v>
      </c>
      <c r="AE65" s="28">
        <f>IF(AE10&gt;0, (AE$30*VALORI!$B$4)+(AE$31*VALORI!$B$4)+(AE$32*VALORI!$B$3)+(AE$33*VALORI!$B$5),0)</f>
        <v>0</v>
      </c>
      <c r="AF65" s="28">
        <f>IF(AF10&gt;0, (AF$30*VALORI!$B$4)+(AF$31*VALORI!$B$4)+(AF$32*VALORI!$B$3)+(AF$33*VALORI!$B$5),0)</f>
        <v>0</v>
      </c>
      <c r="AG65" s="28">
        <f>IF(AG10&gt;0, (AG$30*VALORI!$B$4)+(AG$31*VALORI!$B$4)+(AG$32*VALORI!$B$3)+(AG$33*VALORI!$B$5),0)</f>
        <v>0</v>
      </c>
      <c r="AH65" s="28">
        <f>IF(AH10&gt;0, (AH$30*VALORI!$B$4)+(AH$31*VALORI!$B$4)+(AH$32*VALORI!$B$3)+(AH$33*VALORI!$B$5),0)</f>
        <v>0</v>
      </c>
      <c r="AI65" s="28">
        <f>IF(AI10&gt;0, (AI$30*VALORI!$B$4)+(AI$31*VALORI!$B$4)+(AI$32*VALORI!$B$3)+(AI$33*VALORI!$B$5),0)</f>
        <v>0</v>
      </c>
      <c r="AJ65" s="28">
        <f>IF(AJ10&gt;0, (AJ$30*VALORI!$B$4)+(AJ$31*VALORI!$B$4)+(AJ$32*VALORI!$B$3)+(AJ$33*VALORI!$B$5),0)</f>
        <v>0</v>
      </c>
      <c r="AK65" s="28">
        <f>IF(AK10&gt;0, (AK$30*VALORI!$B$4)+(AK$31*VALORI!$B$4)+(AK$32*VALORI!$B$3)+(AK$33*VALORI!$B$5),0)</f>
        <v>0</v>
      </c>
      <c r="AL65" s="28">
        <f>IF(AL10&gt;0, (AL$30*VALORI!$B$4)+(AL$31*VALORI!$B$4)+(AL$32*VALORI!$B$3)+(AL$33*VALORI!$B$5),0)</f>
        <v>0</v>
      </c>
      <c r="AM65" s="28">
        <f>IF(AM10&gt;0, (AM$30*VALORI!$B$4)+(AM$31*VALORI!$B$4)+(AM$32*VALORI!$B$3)+(AM$33*VALORI!$B$5),0)</f>
        <v>0</v>
      </c>
      <c r="AN65" s="28">
        <f>IF(AN10&gt;0, (AN$30*VALORI!$B$4)+(AN$31*VALORI!$B$4)+(AN$32*VALORI!$B$3)+(AN$33*VALORI!$B$5),0)</f>
        <v>0</v>
      </c>
      <c r="AP65" s="28">
        <f>IF(AP10&gt;0, (AP$30*VALORI!$B$4)+(AP$31*VALORI!$B$4)+(AP$32*VALORI!$B$3)+(AP$33*VALORI!$B$5),0)</f>
        <v>0</v>
      </c>
      <c r="AQ65" s="28">
        <f>IF(AQ10&gt;0, (AQ$30*VALORI!$B$4)+(AQ$31*VALORI!$B$4)+(AQ$32*VALORI!$B$3)+(AQ$33*VALORI!$B$5),0)</f>
        <v>0</v>
      </c>
      <c r="AR65" s="28">
        <f>IF(AR10&gt;0, (AR$30*VALORI!$B$4)+(AR$31*VALORI!$B$4)+(AR$32*VALORI!$B$3)+(AR$33*VALORI!$B$5),0)</f>
        <v>0</v>
      </c>
      <c r="AS65" s="28">
        <f>IF(AS10&gt;0, (AS$30*VALORI!$B$4)+(AS$31*VALORI!$B$4)+(AS$32*VALORI!$B$3)+(AS$33*VALORI!$B$5),0)</f>
        <v>0</v>
      </c>
    </row>
    <row r="66" spans="22:45" ht="15.75" x14ac:dyDescent="0.25">
      <c r="V66" s="28">
        <f>IF(V11&gt;0, (V$30*VALORI!$B$4)+(V$31*VALORI!$B$4)+(V$32*VALORI!$B$3)+(V$33*VALORI!$B$5),0)</f>
        <v>1240</v>
      </c>
      <c r="W66" s="28">
        <f>IF(W11&gt;0, (W$30*VALORI!$B$4)+(W$31*VALORI!$B$4)+(W$32*VALORI!$B$3)+(W$33*VALORI!$B$5),0)</f>
        <v>3720</v>
      </c>
      <c r="X66" s="28">
        <f>IF(X11&gt;0, (X$30*VALORI!$B$4)+(X$31*VALORI!$B$4)+(X$32*VALORI!$B$3)+(X$33*VALORI!$B$5),0)</f>
        <v>992</v>
      </c>
      <c r="Y66" s="28">
        <f>IF(Y11&gt;0, (Y$30*VALORI!$B$4)+(Y$31*VALORI!$B$4)+(Y$32*VALORI!$B$3)+(Y$33*VALORI!$B$5),0)</f>
        <v>992</v>
      </c>
      <c r="Z66" s="28">
        <f>IF(Z11&gt;0, (Z$30*VALORI!$B$4)+(Z$31*VALORI!$B$4)+(Z$32*VALORI!$B$3)+(Z$33*VALORI!$B$5),0)</f>
        <v>642</v>
      </c>
      <c r="AA66" s="28">
        <f>IF(AA11&gt;0, (AA$30*VALORI!$B$4)+(AA$31*VALORI!$B$4)+(AA$32*VALORI!$B$3)+(AA$33*VALORI!$B$5),0)</f>
        <v>0</v>
      </c>
      <c r="AB66" s="28">
        <f>IF(AB11&gt;0, (AB$30*VALORI!$B$4)+(AB$31*VALORI!$B$4)+(AB$32*VALORI!$B$3)+(AB$33*VALORI!$B$5),0)</f>
        <v>0</v>
      </c>
      <c r="AC66" s="28">
        <f>IF(AC11&gt;0, (AC$30*VALORI!$B$4)+(AC$31*VALORI!$B$4)+(AC$32*VALORI!$B$3)+(AC$33*VALORI!$B$5),0)</f>
        <v>0</v>
      </c>
      <c r="AD66" s="28">
        <f>IF(AD11&gt;0, (AD$30*VALORI!$B$4)+(AD$31*VALORI!$B$4)+(AD$32*VALORI!$B$3)+(AD$33*VALORI!$B$5),0)</f>
        <v>0</v>
      </c>
      <c r="AE66" s="28">
        <f>IF(AE11&gt;0, (AE$30*VALORI!$B$4)+(AE$31*VALORI!$B$4)+(AE$32*VALORI!$B$3)+(AE$33*VALORI!$B$5),0)</f>
        <v>0</v>
      </c>
      <c r="AF66" s="28">
        <f>IF(AF11&gt;0, (AF$30*VALORI!$B$4)+(AF$31*VALORI!$B$4)+(AF$32*VALORI!$B$3)+(AF$33*VALORI!$B$5),0)</f>
        <v>0</v>
      </c>
      <c r="AG66" s="28">
        <f>IF(AG11&gt;0, (AG$30*VALORI!$B$4)+(AG$31*VALORI!$B$4)+(AG$32*VALORI!$B$3)+(AG$33*VALORI!$B$5),0)</f>
        <v>0</v>
      </c>
      <c r="AH66" s="28">
        <f>IF(AH11&gt;0, (AH$30*VALORI!$B$4)+(AH$31*VALORI!$B$4)+(AH$32*VALORI!$B$3)+(AH$33*VALORI!$B$5),0)</f>
        <v>0</v>
      </c>
      <c r="AI66" s="28">
        <f>IF(AI11&gt;0, (AI$30*VALORI!$B$4)+(AI$31*VALORI!$B$4)+(AI$32*VALORI!$B$3)+(AI$33*VALORI!$B$5),0)</f>
        <v>0</v>
      </c>
      <c r="AJ66" s="28">
        <f>IF(AJ11&gt;0, (AJ$30*VALORI!$B$4)+(AJ$31*VALORI!$B$4)+(AJ$32*VALORI!$B$3)+(AJ$33*VALORI!$B$5),0)</f>
        <v>0</v>
      </c>
      <c r="AK66" s="28">
        <f>IF(AK11&gt;0, (AK$30*VALORI!$B$4)+(AK$31*VALORI!$B$4)+(AK$32*VALORI!$B$3)+(AK$33*VALORI!$B$5),0)</f>
        <v>0</v>
      </c>
      <c r="AL66" s="28">
        <f>IF(AL11&gt;0, (AL$30*VALORI!$B$4)+(AL$31*VALORI!$B$4)+(AL$32*VALORI!$B$3)+(AL$33*VALORI!$B$5),0)</f>
        <v>0</v>
      </c>
      <c r="AM66" s="28">
        <f>IF(AM11&gt;0, (AM$30*VALORI!$B$4)+(AM$31*VALORI!$B$4)+(AM$32*VALORI!$B$3)+(AM$33*VALORI!$B$5),0)</f>
        <v>0</v>
      </c>
      <c r="AN66" s="28">
        <f>IF(AN11&gt;0, (AN$30*VALORI!$B$4)+(AN$31*VALORI!$B$4)+(AN$32*VALORI!$B$3)+(AN$33*VALORI!$B$5),0)</f>
        <v>0</v>
      </c>
      <c r="AP66" s="28">
        <f>IF(AP11&gt;0, (AP$30*VALORI!$B$4)+(AP$31*VALORI!$B$4)+(AP$32*VALORI!$B$3)+(AP$33*VALORI!$B$5),0)</f>
        <v>0</v>
      </c>
      <c r="AQ66" s="28">
        <f>IF(AQ11&gt;0, (AQ$30*VALORI!$B$4)+(AQ$31*VALORI!$B$4)+(AQ$32*VALORI!$B$3)+(AQ$33*VALORI!$B$5),0)</f>
        <v>0</v>
      </c>
      <c r="AR66" s="28">
        <f>IF(AR11&gt;0, (AR$30*VALORI!$B$4)+(AR$31*VALORI!$B$4)+(AR$32*VALORI!$B$3)+(AR$33*VALORI!$B$5),0)</f>
        <v>0</v>
      </c>
      <c r="AS66" s="28">
        <f>IF(AS11&gt;0, (AS$30*VALORI!$B$4)+(AS$31*VALORI!$B$4)+(AS$32*VALORI!$B$3)+(AS$33*VALORI!$B$5),0)</f>
        <v>0</v>
      </c>
    </row>
    <row r="67" spans="22:45" ht="15.75" x14ac:dyDescent="0.25">
      <c r="V67" s="28">
        <f>IF(V12&gt;0, (V$30*VALORI!$B$4)+(V$31*VALORI!$B$4)+(V$32*VALORI!$B$3)+(V$33*VALORI!$B$5),0)</f>
        <v>1240</v>
      </c>
      <c r="W67" s="28">
        <f>IF(W12&gt;0, (W$30*VALORI!$B$4)+(W$31*VALORI!$B$4)+(W$32*VALORI!$B$3)+(W$33*VALORI!$B$5),0)</f>
        <v>3720</v>
      </c>
      <c r="X67" s="28">
        <f>IF(X12&gt;0, (X$30*VALORI!$B$4)+(X$31*VALORI!$B$4)+(X$32*VALORI!$B$3)+(X$33*VALORI!$B$5),0)</f>
        <v>992</v>
      </c>
      <c r="Y67" s="28">
        <f>IF(Y12&gt;0, (Y$30*VALORI!$B$4)+(Y$31*VALORI!$B$4)+(Y$32*VALORI!$B$3)+(Y$33*VALORI!$B$5),0)</f>
        <v>992</v>
      </c>
      <c r="Z67" s="28">
        <f>IF(Z12&gt;0, (Z$30*VALORI!$B$4)+(Z$31*VALORI!$B$4)+(Z$32*VALORI!$B$3)+(Z$33*VALORI!$B$5),0)</f>
        <v>642</v>
      </c>
      <c r="AA67" s="28">
        <f>IF(AA12&gt;0, (AA$30*VALORI!$B$4)+(AA$31*VALORI!$B$4)+(AA$32*VALORI!$B$3)+(AA$33*VALORI!$B$5),0)</f>
        <v>0</v>
      </c>
      <c r="AB67" s="28">
        <f>IF(AB12&gt;0, (AB$30*VALORI!$B$4)+(AB$31*VALORI!$B$4)+(AB$32*VALORI!$B$3)+(AB$33*VALORI!$B$5),0)</f>
        <v>0</v>
      </c>
      <c r="AC67" s="28">
        <f>IF(AC12&gt;0, (AC$30*VALORI!$B$4)+(AC$31*VALORI!$B$4)+(AC$32*VALORI!$B$3)+(AC$33*VALORI!$B$5),0)</f>
        <v>0</v>
      </c>
      <c r="AD67" s="28">
        <f>IF(AD12&gt;0, (AD$30*VALORI!$B$4)+(AD$31*VALORI!$B$4)+(AD$32*VALORI!$B$3)+(AD$33*VALORI!$B$5),0)</f>
        <v>0</v>
      </c>
      <c r="AE67" s="28">
        <f>IF(AE12&gt;0, (AE$30*VALORI!$B$4)+(AE$31*VALORI!$B$4)+(AE$32*VALORI!$B$3)+(AE$33*VALORI!$B$5),0)</f>
        <v>0</v>
      </c>
      <c r="AF67" s="28">
        <f>IF(AF12&gt;0, (AF$30*VALORI!$B$4)+(AF$31*VALORI!$B$4)+(AF$32*VALORI!$B$3)+(AF$33*VALORI!$B$5),0)</f>
        <v>0</v>
      </c>
      <c r="AG67" s="28">
        <f>IF(AG12&gt;0, (AG$30*VALORI!$B$4)+(AG$31*VALORI!$B$4)+(AG$32*VALORI!$B$3)+(AG$33*VALORI!$B$5),0)</f>
        <v>0</v>
      </c>
      <c r="AH67" s="28">
        <f>IF(AH12&gt;0, (AH$30*VALORI!$B$4)+(AH$31*VALORI!$B$4)+(AH$32*VALORI!$B$3)+(AH$33*VALORI!$B$5),0)</f>
        <v>0</v>
      </c>
      <c r="AI67" s="28">
        <f>IF(AI12&gt;0, (AI$30*VALORI!$B$4)+(AI$31*VALORI!$B$4)+(AI$32*VALORI!$B$3)+(AI$33*VALORI!$B$5),0)</f>
        <v>0</v>
      </c>
      <c r="AJ67" s="28">
        <f>IF(AJ12&gt;0, (AJ$30*VALORI!$B$4)+(AJ$31*VALORI!$B$4)+(AJ$32*VALORI!$B$3)+(AJ$33*VALORI!$B$5),0)</f>
        <v>0</v>
      </c>
      <c r="AK67" s="28">
        <f>IF(AK12&gt;0, (AK$30*VALORI!$B$4)+(AK$31*VALORI!$B$4)+(AK$32*VALORI!$B$3)+(AK$33*VALORI!$B$5),0)</f>
        <v>0</v>
      </c>
      <c r="AL67" s="28">
        <f>IF(AL12&gt;0, (AL$30*VALORI!$B$4)+(AL$31*VALORI!$B$4)+(AL$32*VALORI!$B$3)+(AL$33*VALORI!$B$5),0)</f>
        <v>0</v>
      </c>
      <c r="AM67" s="28">
        <f>IF(AM12&gt;0, (AM$30*VALORI!$B$4)+(AM$31*VALORI!$B$4)+(AM$32*VALORI!$B$3)+(AM$33*VALORI!$B$5),0)</f>
        <v>0</v>
      </c>
      <c r="AN67" s="28">
        <f>IF(AN12&gt;0, (AN$30*VALORI!$B$4)+(AN$31*VALORI!$B$4)+(AN$32*VALORI!$B$3)+(AN$33*VALORI!$B$5),0)</f>
        <v>0</v>
      </c>
      <c r="AP67" s="28">
        <f>IF(AP12&gt;0, (AP$30*VALORI!$B$4)+(AP$31*VALORI!$B$4)+(AP$32*VALORI!$B$3)+(AP$33*VALORI!$B$5),0)</f>
        <v>0</v>
      </c>
      <c r="AQ67" s="28">
        <f>IF(AQ12&gt;0, (AQ$30*VALORI!$B$4)+(AQ$31*VALORI!$B$4)+(AQ$32*VALORI!$B$3)+(AQ$33*VALORI!$B$5),0)</f>
        <v>0</v>
      </c>
      <c r="AR67" s="28">
        <f>IF(AR12&gt;0, (AR$30*VALORI!$B$4)+(AR$31*VALORI!$B$4)+(AR$32*VALORI!$B$3)+(AR$33*VALORI!$B$5),0)</f>
        <v>0</v>
      </c>
      <c r="AS67" s="28">
        <f>IF(AS12&gt;0, (AS$30*VALORI!$B$4)+(AS$31*VALORI!$B$4)+(AS$32*VALORI!$B$3)+(AS$33*VALORI!$B$5),0)</f>
        <v>0</v>
      </c>
    </row>
    <row r="68" spans="22:45" ht="15.75" x14ac:dyDescent="0.25">
      <c r="V68" s="28">
        <f>IF(V13&gt;0, (V$30*VALORI!$B$4)+(V$31*VALORI!$B$4)+(V$32*VALORI!$B$3)+(V$33*VALORI!$B$5),0)</f>
        <v>1240</v>
      </c>
      <c r="W68" s="28">
        <f>IF(W13&gt;0, (W$30*VALORI!$B$4)+(W$31*VALORI!$B$4)+(W$32*VALORI!$B$3)+(W$33*VALORI!$B$5),0)</f>
        <v>3720</v>
      </c>
      <c r="X68" s="28">
        <f>IF(X13&gt;0, (X$30*VALORI!$B$4)+(X$31*VALORI!$B$4)+(X$32*VALORI!$B$3)+(X$33*VALORI!$B$5),0)</f>
        <v>992</v>
      </c>
      <c r="Y68" s="28">
        <f>IF(Y13&gt;0, (Y$30*VALORI!$B$4)+(Y$31*VALORI!$B$4)+(Y$32*VALORI!$B$3)+(Y$33*VALORI!$B$5),0)</f>
        <v>992</v>
      </c>
      <c r="Z68" s="28">
        <f>IF(Z13&gt;0, (Z$30*VALORI!$B$4)+(Z$31*VALORI!$B$4)+(Z$32*VALORI!$B$3)+(Z$33*VALORI!$B$5),0)</f>
        <v>642</v>
      </c>
      <c r="AA68" s="28">
        <f>IF(AA13&gt;0, (AA$30*VALORI!$B$4)+(AA$31*VALORI!$B$4)+(AA$32*VALORI!$B$3)+(AA$33*VALORI!$B$5),0)</f>
        <v>0</v>
      </c>
      <c r="AB68" s="28">
        <f>IF(AB13&gt;0, (AB$30*VALORI!$B$4)+(AB$31*VALORI!$B$4)+(AB$32*VALORI!$B$3)+(AB$33*VALORI!$B$5),0)</f>
        <v>0</v>
      </c>
      <c r="AC68" s="28">
        <f>IF(AC13&gt;0, (AC$30*VALORI!$B$4)+(AC$31*VALORI!$B$4)+(AC$32*VALORI!$B$3)+(AC$33*VALORI!$B$5),0)</f>
        <v>0</v>
      </c>
      <c r="AD68" s="28">
        <f>IF(AD13&gt;0, (AD$30*VALORI!$B$4)+(AD$31*VALORI!$B$4)+(AD$32*VALORI!$B$3)+(AD$33*VALORI!$B$5),0)</f>
        <v>0</v>
      </c>
      <c r="AE68" s="28">
        <f>IF(AE13&gt;0, (AE$30*VALORI!$B$4)+(AE$31*VALORI!$B$4)+(AE$32*VALORI!$B$3)+(AE$33*VALORI!$B$5),0)</f>
        <v>0</v>
      </c>
      <c r="AF68" s="28">
        <f>IF(AF13&gt;0, (AF$30*VALORI!$B$4)+(AF$31*VALORI!$B$4)+(AF$32*VALORI!$B$3)+(AF$33*VALORI!$B$5),0)</f>
        <v>0</v>
      </c>
      <c r="AG68" s="28">
        <f>IF(AG13&gt;0, (AG$30*VALORI!$B$4)+(AG$31*VALORI!$B$4)+(AG$32*VALORI!$B$3)+(AG$33*VALORI!$B$5),0)</f>
        <v>0</v>
      </c>
      <c r="AH68" s="28">
        <f>IF(AH13&gt;0, (AH$30*VALORI!$B$4)+(AH$31*VALORI!$B$4)+(AH$32*VALORI!$B$3)+(AH$33*VALORI!$B$5),0)</f>
        <v>0</v>
      </c>
      <c r="AI68" s="28">
        <f>IF(AI13&gt;0, (AI$30*VALORI!$B$4)+(AI$31*VALORI!$B$4)+(AI$32*VALORI!$B$3)+(AI$33*VALORI!$B$5),0)</f>
        <v>0</v>
      </c>
      <c r="AJ68" s="28">
        <f>IF(AJ13&gt;0, (AJ$30*VALORI!$B$4)+(AJ$31*VALORI!$B$4)+(AJ$32*VALORI!$B$3)+(AJ$33*VALORI!$B$5),0)</f>
        <v>0</v>
      </c>
      <c r="AK68" s="28">
        <f>IF(AK13&gt;0, (AK$30*VALORI!$B$4)+(AK$31*VALORI!$B$4)+(AK$32*VALORI!$B$3)+(AK$33*VALORI!$B$5),0)</f>
        <v>0</v>
      </c>
      <c r="AL68" s="28">
        <f>IF(AL13&gt;0, (AL$30*VALORI!$B$4)+(AL$31*VALORI!$B$4)+(AL$32*VALORI!$B$3)+(AL$33*VALORI!$B$5),0)</f>
        <v>0</v>
      </c>
      <c r="AM68" s="28">
        <f>IF(AM13&gt;0, (AM$30*VALORI!$B$4)+(AM$31*VALORI!$B$4)+(AM$32*VALORI!$B$3)+(AM$33*VALORI!$B$5),0)</f>
        <v>0</v>
      </c>
      <c r="AN68" s="28">
        <f>IF(AN13&gt;0, (AN$30*VALORI!$B$4)+(AN$31*VALORI!$B$4)+(AN$32*VALORI!$B$3)+(AN$33*VALORI!$B$5),0)</f>
        <v>0</v>
      </c>
      <c r="AP68" s="28">
        <f>IF(AP13&gt;0, (AP$30*VALORI!$B$4)+(AP$31*VALORI!$B$4)+(AP$32*VALORI!$B$3)+(AP$33*VALORI!$B$5),0)</f>
        <v>0</v>
      </c>
      <c r="AQ68" s="28">
        <f>IF(AQ13&gt;0, (AQ$30*VALORI!$B$4)+(AQ$31*VALORI!$B$4)+(AQ$32*VALORI!$B$3)+(AQ$33*VALORI!$B$5),0)</f>
        <v>0</v>
      </c>
      <c r="AR68" s="28">
        <f>IF(AR13&gt;0, (AR$30*VALORI!$B$4)+(AR$31*VALORI!$B$4)+(AR$32*VALORI!$B$3)+(AR$33*VALORI!$B$5),0)</f>
        <v>0</v>
      </c>
      <c r="AS68" s="28">
        <f>IF(AS13&gt;0, (AS$30*VALORI!$B$4)+(AS$31*VALORI!$B$4)+(AS$32*VALORI!$B$3)+(AS$33*VALORI!$B$5),0)</f>
        <v>0</v>
      </c>
    </row>
    <row r="69" spans="22:45" ht="15.75" x14ac:dyDescent="0.25">
      <c r="V69" s="28">
        <f>IF(V14&gt;0, (V$30*VALORI!$B$4)+(V$31*VALORI!$B$4)+(V$32*VALORI!$B$3)+(V$33*VALORI!$B$5),0)</f>
        <v>1240</v>
      </c>
      <c r="W69" s="28">
        <f>IF(W14&gt;0, (W$30*VALORI!$B$4)+(W$31*VALORI!$B$4)+(W$32*VALORI!$B$3)+(W$33*VALORI!$B$5),0)</f>
        <v>3720</v>
      </c>
      <c r="X69" s="28">
        <f>IF(X14&gt;0, (X$30*VALORI!$B$4)+(X$31*VALORI!$B$4)+(X$32*VALORI!$B$3)+(X$33*VALORI!$B$5),0)</f>
        <v>992</v>
      </c>
      <c r="Y69" s="28">
        <f>IF(Y14&gt;0, (Y$30*VALORI!$B$4)+(Y$31*VALORI!$B$4)+(Y$32*VALORI!$B$3)+(Y$33*VALORI!$B$5),0)</f>
        <v>992</v>
      </c>
      <c r="Z69" s="28">
        <f>IF(Z14&gt;0, (Z$30*VALORI!$B$4)+(Z$31*VALORI!$B$4)+(Z$32*VALORI!$B$3)+(Z$33*VALORI!$B$5),0)</f>
        <v>642</v>
      </c>
      <c r="AA69" s="28">
        <f>IF(AA14&gt;0, (AA$30*VALORI!$B$4)+(AA$31*VALORI!$B$4)+(AA$32*VALORI!$B$3)+(AA$33*VALORI!$B$5),0)</f>
        <v>0</v>
      </c>
      <c r="AB69" s="28">
        <f>IF(AB14&gt;0, (AB$30*VALORI!$B$4)+(AB$31*VALORI!$B$4)+(AB$32*VALORI!$B$3)+(AB$33*VALORI!$B$5),0)</f>
        <v>0</v>
      </c>
      <c r="AC69" s="28">
        <f>IF(AC14&gt;0, (AC$30*VALORI!$B$4)+(AC$31*VALORI!$B$4)+(AC$32*VALORI!$B$3)+(AC$33*VALORI!$B$5),0)</f>
        <v>0</v>
      </c>
      <c r="AD69" s="28">
        <f>IF(AD14&gt;0, (AD$30*VALORI!$B$4)+(AD$31*VALORI!$B$4)+(AD$32*VALORI!$B$3)+(AD$33*VALORI!$B$5),0)</f>
        <v>0</v>
      </c>
      <c r="AE69" s="28">
        <f>IF(AE14&gt;0, (AE$30*VALORI!$B$4)+(AE$31*VALORI!$B$4)+(AE$32*VALORI!$B$3)+(AE$33*VALORI!$B$5),0)</f>
        <v>0</v>
      </c>
      <c r="AF69" s="28">
        <f>IF(AF14&gt;0, (AF$30*VALORI!$B$4)+(AF$31*VALORI!$B$4)+(AF$32*VALORI!$B$3)+(AF$33*VALORI!$B$5),0)</f>
        <v>0</v>
      </c>
      <c r="AG69" s="28">
        <f>IF(AG14&gt;0, (AG$30*VALORI!$B$4)+(AG$31*VALORI!$B$4)+(AG$32*VALORI!$B$3)+(AG$33*VALORI!$B$5),0)</f>
        <v>0</v>
      </c>
      <c r="AH69" s="28">
        <f>IF(AH14&gt;0, (AH$30*VALORI!$B$4)+(AH$31*VALORI!$B$4)+(AH$32*VALORI!$B$3)+(AH$33*VALORI!$B$5),0)</f>
        <v>0</v>
      </c>
      <c r="AI69" s="28">
        <f>IF(AI14&gt;0, (AI$30*VALORI!$B$4)+(AI$31*VALORI!$B$4)+(AI$32*VALORI!$B$3)+(AI$33*VALORI!$B$5),0)</f>
        <v>0</v>
      </c>
      <c r="AJ69" s="28">
        <f>IF(AJ14&gt;0, (AJ$30*VALORI!$B$4)+(AJ$31*VALORI!$B$4)+(AJ$32*VALORI!$B$3)+(AJ$33*VALORI!$B$5),0)</f>
        <v>0</v>
      </c>
      <c r="AK69" s="28">
        <f>IF(AK14&gt;0, (AK$30*VALORI!$B$4)+(AK$31*VALORI!$B$4)+(AK$32*VALORI!$B$3)+(AK$33*VALORI!$B$5),0)</f>
        <v>0</v>
      </c>
      <c r="AL69" s="28">
        <f>IF(AL14&gt;0, (AL$30*VALORI!$B$4)+(AL$31*VALORI!$B$4)+(AL$32*VALORI!$B$3)+(AL$33*VALORI!$B$5),0)</f>
        <v>0</v>
      </c>
      <c r="AM69" s="28">
        <f>IF(AM14&gt;0, (AM$30*VALORI!$B$4)+(AM$31*VALORI!$B$4)+(AM$32*VALORI!$B$3)+(AM$33*VALORI!$B$5),0)</f>
        <v>0</v>
      </c>
      <c r="AN69" s="28">
        <f>IF(AN14&gt;0, (AN$30*VALORI!$B$4)+(AN$31*VALORI!$B$4)+(AN$32*VALORI!$B$3)+(AN$33*VALORI!$B$5),0)</f>
        <v>0</v>
      </c>
      <c r="AP69" s="28">
        <f>IF(AP14&gt;0, (AP$30*VALORI!$B$4)+(AP$31*VALORI!$B$4)+(AP$32*VALORI!$B$3)+(AP$33*VALORI!$B$5),0)</f>
        <v>0</v>
      </c>
      <c r="AQ69" s="28">
        <f>IF(AQ14&gt;0, (AQ$30*VALORI!$B$4)+(AQ$31*VALORI!$B$4)+(AQ$32*VALORI!$B$3)+(AQ$33*VALORI!$B$5),0)</f>
        <v>0</v>
      </c>
      <c r="AR69" s="28">
        <f>IF(AR14&gt;0, (AR$30*VALORI!$B$4)+(AR$31*VALORI!$B$4)+(AR$32*VALORI!$B$3)+(AR$33*VALORI!$B$5),0)</f>
        <v>0</v>
      </c>
      <c r="AS69" s="28">
        <f>IF(AS14&gt;0, (AS$30*VALORI!$B$4)+(AS$31*VALORI!$B$4)+(AS$32*VALORI!$B$3)+(AS$33*VALORI!$B$5),0)</f>
        <v>0</v>
      </c>
    </row>
    <row r="70" spans="22:45" ht="15.75" x14ac:dyDescent="0.25">
      <c r="V70" s="28">
        <f>IF(V15&gt;0, (V$30*VALORI!$B$4)+(V$31*VALORI!$B$4)+(V$32*VALORI!$B$3)+(V$33*VALORI!$B$5),0)</f>
        <v>1240</v>
      </c>
      <c r="W70" s="28">
        <f>IF(W15&gt;0, (W$30*VALORI!$B$4)+(W$31*VALORI!$B$4)+(W$32*VALORI!$B$3)+(W$33*VALORI!$B$5),0)</f>
        <v>3720</v>
      </c>
      <c r="X70" s="28">
        <f>IF(X15&gt;0, (X$30*VALORI!$B$4)+(X$31*VALORI!$B$4)+(X$32*VALORI!$B$3)+(X$33*VALORI!$B$5),0)</f>
        <v>992</v>
      </c>
      <c r="Y70" s="28">
        <f>IF(Y15&gt;0, (Y$30*VALORI!$B$4)+(Y$31*VALORI!$B$4)+(Y$32*VALORI!$B$3)+(Y$33*VALORI!$B$5),0)</f>
        <v>992</v>
      </c>
      <c r="Z70" s="28">
        <f>IF(Z15&gt;0, (Z$30*VALORI!$B$4)+(Z$31*VALORI!$B$4)+(Z$32*VALORI!$B$3)+(Z$33*VALORI!$B$5),0)</f>
        <v>642</v>
      </c>
      <c r="AA70" s="28">
        <f>IF(AA15&gt;0, (AA$30*VALORI!$B$4)+(AA$31*VALORI!$B$4)+(AA$32*VALORI!$B$3)+(AA$33*VALORI!$B$5),0)</f>
        <v>0</v>
      </c>
      <c r="AB70" s="28">
        <f>IF(AB15&gt;0, (AB$30*VALORI!$B$4)+(AB$31*VALORI!$B$4)+(AB$32*VALORI!$B$3)+(AB$33*VALORI!$B$5),0)</f>
        <v>0</v>
      </c>
      <c r="AC70" s="28">
        <f>IF(AC15&gt;0, (AC$30*VALORI!$B$4)+(AC$31*VALORI!$B$4)+(AC$32*VALORI!$B$3)+(AC$33*VALORI!$B$5),0)</f>
        <v>0</v>
      </c>
      <c r="AD70" s="28">
        <f>IF(AD15&gt;0, (AD$30*VALORI!$B$4)+(AD$31*VALORI!$B$4)+(AD$32*VALORI!$B$3)+(AD$33*VALORI!$B$5),0)</f>
        <v>0</v>
      </c>
      <c r="AE70" s="28">
        <f>IF(AE15&gt;0, (AE$30*VALORI!$B$4)+(AE$31*VALORI!$B$4)+(AE$32*VALORI!$B$3)+(AE$33*VALORI!$B$5),0)</f>
        <v>0</v>
      </c>
      <c r="AF70" s="28">
        <f>IF(AF15&gt;0, (AF$30*VALORI!$B$4)+(AF$31*VALORI!$B$4)+(AF$32*VALORI!$B$3)+(AF$33*VALORI!$B$5),0)</f>
        <v>0</v>
      </c>
      <c r="AG70" s="28">
        <f>IF(AG15&gt;0, (AG$30*VALORI!$B$4)+(AG$31*VALORI!$B$4)+(AG$32*VALORI!$B$3)+(AG$33*VALORI!$B$5),0)</f>
        <v>0</v>
      </c>
      <c r="AH70" s="28">
        <f>IF(AH15&gt;0, (AH$30*VALORI!$B$4)+(AH$31*VALORI!$B$4)+(AH$32*VALORI!$B$3)+(AH$33*VALORI!$B$5),0)</f>
        <v>0</v>
      </c>
      <c r="AI70" s="28">
        <f>IF(AI15&gt;0, (AI$30*VALORI!$B$4)+(AI$31*VALORI!$B$4)+(AI$32*VALORI!$B$3)+(AI$33*VALORI!$B$5),0)</f>
        <v>0</v>
      </c>
      <c r="AJ70" s="28">
        <f>IF(AJ15&gt;0, (AJ$30*VALORI!$B$4)+(AJ$31*VALORI!$B$4)+(AJ$32*VALORI!$B$3)+(AJ$33*VALORI!$B$5),0)</f>
        <v>0</v>
      </c>
      <c r="AK70" s="28">
        <f>IF(AK15&gt;0, (AK$30*VALORI!$B$4)+(AK$31*VALORI!$B$4)+(AK$32*VALORI!$B$3)+(AK$33*VALORI!$B$5),0)</f>
        <v>0</v>
      </c>
      <c r="AL70" s="28">
        <f>IF(AL15&gt;0, (AL$30*VALORI!$B$4)+(AL$31*VALORI!$B$4)+(AL$32*VALORI!$B$3)+(AL$33*VALORI!$B$5),0)</f>
        <v>0</v>
      </c>
      <c r="AM70" s="28">
        <f>IF(AM15&gt;0, (AM$30*VALORI!$B$4)+(AM$31*VALORI!$B$4)+(AM$32*VALORI!$B$3)+(AM$33*VALORI!$B$5),0)</f>
        <v>0</v>
      </c>
      <c r="AN70" s="28">
        <f>IF(AN15&gt;0, (AN$30*VALORI!$B$4)+(AN$31*VALORI!$B$4)+(AN$32*VALORI!$B$3)+(AN$33*VALORI!$B$5),0)</f>
        <v>0</v>
      </c>
      <c r="AP70" s="28">
        <f>IF(AP15&gt;0, (AP$30*VALORI!$B$4)+(AP$31*VALORI!$B$4)+(AP$32*VALORI!$B$3)+(AP$33*VALORI!$B$5),0)</f>
        <v>0</v>
      </c>
      <c r="AQ70" s="28">
        <f>IF(AQ15&gt;0, (AQ$30*VALORI!$B$4)+(AQ$31*VALORI!$B$4)+(AQ$32*VALORI!$B$3)+(AQ$33*VALORI!$B$5),0)</f>
        <v>0</v>
      </c>
      <c r="AR70" s="28">
        <f>IF(AR15&gt;0, (AR$30*VALORI!$B$4)+(AR$31*VALORI!$B$4)+(AR$32*VALORI!$B$3)+(AR$33*VALORI!$B$5),0)</f>
        <v>0</v>
      </c>
      <c r="AS70" s="28">
        <f>IF(AS15&gt;0, (AS$30*VALORI!$B$4)+(AS$31*VALORI!$B$4)+(AS$32*VALORI!$B$3)+(AS$33*VALORI!$B$5),0)</f>
        <v>0</v>
      </c>
    </row>
    <row r="71" spans="22:45" ht="15.75" x14ac:dyDescent="0.25">
      <c r="V71" s="28">
        <f>IF(V16&gt;0, (V$30*VALORI!$B$4)+(V$31*VALORI!$B$4)+(V$32*VALORI!$B$3)+(V$33*VALORI!$B$5),0)</f>
        <v>1240</v>
      </c>
      <c r="W71" s="28">
        <f>IF(W16&gt;0, (W$30*VALORI!$B$4)+(W$31*VALORI!$B$4)+(W$32*VALORI!$B$3)+(W$33*VALORI!$B$5),0)</f>
        <v>3720</v>
      </c>
      <c r="X71" s="28">
        <f>IF(X16&gt;0, (X$30*VALORI!$B$4)+(X$31*VALORI!$B$4)+(X$32*VALORI!$B$3)+(X$33*VALORI!$B$5),0)</f>
        <v>992</v>
      </c>
      <c r="Y71" s="28">
        <f>IF(Y16&gt;0, (Y$30*VALORI!$B$4)+(Y$31*VALORI!$B$4)+(Y$32*VALORI!$B$3)+(Y$33*VALORI!$B$5),0)</f>
        <v>992</v>
      </c>
      <c r="Z71" s="28">
        <f>IF(Z16&gt;0, (Z$30*VALORI!$B$4)+(Z$31*VALORI!$B$4)+(Z$32*VALORI!$B$3)+(Z$33*VALORI!$B$5),0)</f>
        <v>642</v>
      </c>
      <c r="AA71" s="28">
        <f>IF(AA16&gt;0, (AA$30*VALORI!$B$4)+(AA$31*VALORI!$B$4)+(AA$32*VALORI!$B$3)+(AA$33*VALORI!$B$5),0)</f>
        <v>0</v>
      </c>
      <c r="AB71" s="28">
        <f>IF(AB16&gt;0, (AB$30*VALORI!$B$4)+(AB$31*VALORI!$B$4)+(AB$32*VALORI!$B$3)+(AB$33*VALORI!$B$5),0)</f>
        <v>0</v>
      </c>
      <c r="AC71" s="28">
        <f>IF(AC16&gt;0, (AC$30*VALORI!$B$4)+(AC$31*VALORI!$B$4)+(AC$32*VALORI!$B$3)+(AC$33*VALORI!$B$5),0)</f>
        <v>0</v>
      </c>
      <c r="AD71" s="28">
        <f>IF(AD16&gt;0, (AD$30*VALORI!$B$4)+(AD$31*VALORI!$B$4)+(AD$32*VALORI!$B$3)+(AD$33*VALORI!$B$5),0)</f>
        <v>0</v>
      </c>
      <c r="AE71" s="28">
        <f>IF(AE16&gt;0, (AE$30*VALORI!$B$4)+(AE$31*VALORI!$B$4)+(AE$32*VALORI!$B$3)+(AE$33*VALORI!$B$5),0)</f>
        <v>0</v>
      </c>
      <c r="AF71" s="28">
        <f>IF(AF16&gt;0, (AF$30*VALORI!$B$4)+(AF$31*VALORI!$B$4)+(AF$32*VALORI!$B$3)+(AF$33*VALORI!$B$5),0)</f>
        <v>0</v>
      </c>
      <c r="AG71" s="28">
        <f>IF(AG16&gt;0, (AG$30*VALORI!$B$4)+(AG$31*VALORI!$B$4)+(AG$32*VALORI!$B$3)+(AG$33*VALORI!$B$5),0)</f>
        <v>0</v>
      </c>
      <c r="AH71" s="28">
        <f>IF(AH16&gt;0, (AH$30*VALORI!$B$4)+(AH$31*VALORI!$B$4)+(AH$32*VALORI!$B$3)+(AH$33*VALORI!$B$5),0)</f>
        <v>0</v>
      </c>
      <c r="AI71" s="28">
        <f>IF(AI16&gt;0, (AI$30*VALORI!$B$4)+(AI$31*VALORI!$B$4)+(AI$32*VALORI!$B$3)+(AI$33*VALORI!$B$5),0)</f>
        <v>0</v>
      </c>
      <c r="AJ71" s="28">
        <f>IF(AJ16&gt;0, (AJ$30*VALORI!$B$4)+(AJ$31*VALORI!$B$4)+(AJ$32*VALORI!$B$3)+(AJ$33*VALORI!$B$5),0)</f>
        <v>0</v>
      </c>
      <c r="AK71" s="28">
        <f>IF(AK16&gt;0, (AK$30*VALORI!$B$4)+(AK$31*VALORI!$B$4)+(AK$32*VALORI!$B$3)+(AK$33*VALORI!$B$5),0)</f>
        <v>0</v>
      </c>
      <c r="AL71" s="28">
        <f>IF(AL16&gt;0, (AL$30*VALORI!$B$4)+(AL$31*VALORI!$B$4)+(AL$32*VALORI!$B$3)+(AL$33*VALORI!$B$5),0)</f>
        <v>0</v>
      </c>
      <c r="AM71" s="28">
        <f>IF(AM16&gt;0, (AM$30*VALORI!$B$4)+(AM$31*VALORI!$B$4)+(AM$32*VALORI!$B$3)+(AM$33*VALORI!$B$5),0)</f>
        <v>0</v>
      </c>
      <c r="AN71" s="28">
        <f>IF(AN16&gt;0, (AN$30*VALORI!$B$4)+(AN$31*VALORI!$B$4)+(AN$32*VALORI!$B$3)+(AN$33*VALORI!$B$5),0)</f>
        <v>0</v>
      </c>
      <c r="AP71" s="28">
        <f>IF(AP16&gt;0, (AP$30*VALORI!$B$4)+(AP$31*VALORI!$B$4)+(AP$32*VALORI!$B$3)+(AP$33*VALORI!$B$5),0)</f>
        <v>0</v>
      </c>
      <c r="AQ71" s="28">
        <f>IF(AQ16&gt;0, (AQ$30*VALORI!$B$4)+(AQ$31*VALORI!$B$4)+(AQ$32*VALORI!$B$3)+(AQ$33*VALORI!$B$5),0)</f>
        <v>0</v>
      </c>
      <c r="AR71" s="28">
        <f>IF(AR16&gt;0, (AR$30*VALORI!$B$4)+(AR$31*VALORI!$B$4)+(AR$32*VALORI!$B$3)+(AR$33*VALORI!$B$5),0)</f>
        <v>0</v>
      </c>
      <c r="AS71" s="28">
        <f>IF(AS16&gt;0, (AS$30*VALORI!$B$4)+(AS$31*VALORI!$B$4)+(AS$32*VALORI!$B$3)+(AS$33*VALORI!$B$5),0)</f>
        <v>0</v>
      </c>
    </row>
    <row r="72" spans="22:45" ht="15.75" x14ac:dyDescent="0.25">
      <c r="V72" s="28">
        <f>IF(V17&gt;0, (V$30*VALORI!$B$4)+(V$31*VALORI!$B$4)+(V$32*VALORI!$B$3)+(V$33*VALORI!$B$5),0)</f>
        <v>1240</v>
      </c>
      <c r="W72" s="28">
        <f>IF(W17&gt;0, (W$30*VALORI!$B$4)+(W$31*VALORI!$B$4)+(W$32*VALORI!$B$3)+(W$33*VALORI!$B$5),0)</f>
        <v>3720</v>
      </c>
      <c r="X72" s="28">
        <f>IF(X17&gt;0, (X$30*VALORI!$B$4)+(X$31*VALORI!$B$4)+(X$32*VALORI!$B$3)+(X$33*VALORI!$B$5),0)</f>
        <v>992</v>
      </c>
      <c r="Y72" s="28">
        <f>IF(Y17&gt;0, (Y$30*VALORI!$B$4)+(Y$31*VALORI!$B$4)+(Y$32*VALORI!$B$3)+(Y$33*VALORI!$B$5),0)</f>
        <v>992</v>
      </c>
      <c r="Z72" s="28">
        <f>IF(Z17&gt;0, (Z$30*VALORI!$B$4)+(Z$31*VALORI!$B$4)+(Z$32*VALORI!$B$3)+(Z$33*VALORI!$B$5),0)</f>
        <v>642</v>
      </c>
      <c r="AA72" s="28">
        <f>IF(AA17&gt;0, (AA$30*VALORI!$B$4)+(AA$31*VALORI!$B$4)+(AA$32*VALORI!$B$3)+(AA$33*VALORI!$B$5),0)</f>
        <v>0</v>
      </c>
      <c r="AB72" s="28">
        <f>IF(AB17&gt;0, (AB$30*VALORI!$B$4)+(AB$31*VALORI!$B$4)+(AB$32*VALORI!$B$3)+(AB$33*VALORI!$B$5),0)</f>
        <v>0</v>
      </c>
      <c r="AC72" s="28">
        <f>IF(AC17&gt;0, (AC$30*VALORI!$B$4)+(AC$31*VALORI!$B$4)+(AC$32*VALORI!$B$3)+(AC$33*VALORI!$B$5),0)</f>
        <v>0</v>
      </c>
      <c r="AD72" s="28">
        <f>IF(AD17&gt;0, (AD$30*VALORI!$B$4)+(AD$31*VALORI!$B$4)+(AD$32*VALORI!$B$3)+(AD$33*VALORI!$B$5),0)</f>
        <v>0</v>
      </c>
      <c r="AE72" s="28">
        <f>IF(AE17&gt;0, (AE$30*VALORI!$B$4)+(AE$31*VALORI!$B$4)+(AE$32*VALORI!$B$3)+(AE$33*VALORI!$B$5),0)</f>
        <v>0</v>
      </c>
      <c r="AF72" s="28">
        <f>IF(AF17&gt;0, (AF$30*VALORI!$B$4)+(AF$31*VALORI!$B$4)+(AF$32*VALORI!$B$3)+(AF$33*VALORI!$B$5),0)</f>
        <v>0</v>
      </c>
      <c r="AG72" s="28">
        <f>IF(AG17&gt;0, (AG$30*VALORI!$B$4)+(AG$31*VALORI!$B$4)+(AG$32*VALORI!$B$3)+(AG$33*VALORI!$B$5),0)</f>
        <v>0</v>
      </c>
      <c r="AH72" s="28">
        <f>IF(AH17&gt;0, (AH$30*VALORI!$B$4)+(AH$31*VALORI!$B$4)+(AH$32*VALORI!$B$3)+(AH$33*VALORI!$B$5),0)</f>
        <v>0</v>
      </c>
      <c r="AI72" s="28">
        <f>IF(AI17&gt;0, (AI$30*VALORI!$B$4)+(AI$31*VALORI!$B$4)+(AI$32*VALORI!$B$3)+(AI$33*VALORI!$B$5),0)</f>
        <v>0</v>
      </c>
      <c r="AJ72" s="28">
        <f>IF(AJ17&gt;0, (AJ$30*VALORI!$B$4)+(AJ$31*VALORI!$B$4)+(AJ$32*VALORI!$B$3)+(AJ$33*VALORI!$B$5),0)</f>
        <v>0</v>
      </c>
      <c r="AK72" s="28">
        <f>IF(AK17&gt;0, (AK$30*VALORI!$B$4)+(AK$31*VALORI!$B$4)+(AK$32*VALORI!$B$3)+(AK$33*VALORI!$B$5),0)</f>
        <v>0</v>
      </c>
      <c r="AL72" s="28">
        <f>IF(AL17&gt;0, (AL$30*VALORI!$B$4)+(AL$31*VALORI!$B$4)+(AL$32*VALORI!$B$3)+(AL$33*VALORI!$B$5),0)</f>
        <v>0</v>
      </c>
      <c r="AM72" s="28">
        <f>IF(AM17&gt;0, (AM$30*VALORI!$B$4)+(AM$31*VALORI!$B$4)+(AM$32*VALORI!$B$3)+(AM$33*VALORI!$B$5),0)</f>
        <v>0</v>
      </c>
      <c r="AN72" s="28">
        <f>IF(AN17&gt;0, (AN$30*VALORI!$B$4)+(AN$31*VALORI!$B$4)+(AN$32*VALORI!$B$3)+(AN$33*VALORI!$B$5),0)</f>
        <v>0</v>
      </c>
      <c r="AP72" s="28">
        <f>IF(AP17&gt;0, (AP$30*VALORI!$B$4)+(AP$31*VALORI!$B$4)+(AP$32*VALORI!$B$3)+(AP$33*VALORI!$B$5),0)</f>
        <v>0</v>
      </c>
      <c r="AQ72" s="28">
        <f>IF(AQ17&gt;0, (AQ$30*VALORI!$B$4)+(AQ$31*VALORI!$B$4)+(AQ$32*VALORI!$B$3)+(AQ$33*VALORI!$B$5),0)</f>
        <v>0</v>
      </c>
      <c r="AR72" s="28">
        <f>IF(AR17&gt;0, (AR$30*VALORI!$B$4)+(AR$31*VALORI!$B$4)+(AR$32*VALORI!$B$3)+(AR$33*VALORI!$B$5),0)</f>
        <v>0</v>
      </c>
      <c r="AS72" s="28">
        <f>IF(AS17&gt;0, (AS$30*VALORI!$B$4)+(AS$31*VALORI!$B$4)+(AS$32*VALORI!$B$3)+(AS$33*VALORI!$B$5),0)</f>
        <v>0</v>
      </c>
    </row>
    <row r="73" spans="22:45" ht="15.75" x14ac:dyDescent="0.25">
      <c r="V73" s="28">
        <f>IF(V18&gt;0, (V$30*VALORI!$B$4)+(V$31*VALORI!$B$4)+(V$32*VALORI!$B$3)+(V$33*VALORI!$B$5),0)</f>
        <v>1240</v>
      </c>
      <c r="W73" s="28">
        <f>IF(W18&gt;0, (W$30*VALORI!$B$4)+(W$31*VALORI!$B$4)+(W$32*VALORI!$B$3)+(W$33*VALORI!$B$5),0)</f>
        <v>3720</v>
      </c>
      <c r="X73" s="28">
        <f>IF(X18&gt;0, (X$30*VALORI!$B$4)+(X$31*VALORI!$B$4)+(X$32*VALORI!$B$3)+(X$33*VALORI!$B$5),0)</f>
        <v>992</v>
      </c>
      <c r="Y73" s="28">
        <f>IF(Y18&gt;0, (Y$30*VALORI!$B$4)+(Y$31*VALORI!$B$4)+(Y$32*VALORI!$B$3)+(Y$33*VALORI!$B$5),0)</f>
        <v>992</v>
      </c>
      <c r="Z73" s="28">
        <f>IF(Z18&gt;0, (Z$30*VALORI!$B$4)+(Z$31*VALORI!$B$4)+(Z$32*VALORI!$B$3)+(Z$33*VALORI!$B$5),0)</f>
        <v>642</v>
      </c>
      <c r="AA73" s="28">
        <f>IF(AA18&gt;0, (AA$30*VALORI!$B$4)+(AA$31*VALORI!$B$4)+(AA$32*VALORI!$B$3)+(AA$33*VALORI!$B$5),0)</f>
        <v>0</v>
      </c>
      <c r="AB73" s="28">
        <f>IF(AB18&gt;0, (AB$30*VALORI!$B$4)+(AB$31*VALORI!$B$4)+(AB$32*VALORI!$B$3)+(AB$33*VALORI!$B$5),0)</f>
        <v>0</v>
      </c>
      <c r="AC73" s="28">
        <f>IF(AC18&gt;0, (AC$30*VALORI!$B$4)+(AC$31*VALORI!$B$4)+(AC$32*VALORI!$B$3)+(AC$33*VALORI!$B$5),0)</f>
        <v>0</v>
      </c>
      <c r="AD73" s="28">
        <f>IF(AD18&gt;0, (AD$30*VALORI!$B$4)+(AD$31*VALORI!$B$4)+(AD$32*VALORI!$B$3)+(AD$33*VALORI!$B$5),0)</f>
        <v>0</v>
      </c>
      <c r="AE73" s="28">
        <f>IF(AE18&gt;0, (AE$30*VALORI!$B$4)+(AE$31*VALORI!$B$4)+(AE$32*VALORI!$B$3)+(AE$33*VALORI!$B$5),0)</f>
        <v>0</v>
      </c>
      <c r="AF73" s="28">
        <f>IF(AF18&gt;0, (AF$30*VALORI!$B$4)+(AF$31*VALORI!$B$4)+(AF$32*VALORI!$B$3)+(AF$33*VALORI!$B$5),0)</f>
        <v>0</v>
      </c>
      <c r="AG73" s="28">
        <f>IF(AG18&gt;0, (AG$30*VALORI!$B$4)+(AG$31*VALORI!$B$4)+(AG$32*VALORI!$B$3)+(AG$33*VALORI!$B$5),0)</f>
        <v>0</v>
      </c>
      <c r="AH73" s="28">
        <f>IF(AH18&gt;0, (AH$30*VALORI!$B$4)+(AH$31*VALORI!$B$4)+(AH$32*VALORI!$B$3)+(AH$33*VALORI!$B$5),0)</f>
        <v>0</v>
      </c>
      <c r="AI73" s="28">
        <f>IF(AI18&gt;0, (AI$30*VALORI!$B$4)+(AI$31*VALORI!$B$4)+(AI$32*VALORI!$B$3)+(AI$33*VALORI!$B$5),0)</f>
        <v>0</v>
      </c>
      <c r="AJ73" s="28">
        <f>IF(AJ18&gt;0, (AJ$30*VALORI!$B$4)+(AJ$31*VALORI!$B$4)+(AJ$32*VALORI!$B$3)+(AJ$33*VALORI!$B$5),0)</f>
        <v>0</v>
      </c>
      <c r="AK73" s="28">
        <f>IF(AK18&gt;0, (AK$30*VALORI!$B$4)+(AK$31*VALORI!$B$4)+(AK$32*VALORI!$B$3)+(AK$33*VALORI!$B$5),0)</f>
        <v>0</v>
      </c>
      <c r="AL73" s="28">
        <f>IF(AL18&gt;0, (AL$30*VALORI!$B$4)+(AL$31*VALORI!$B$4)+(AL$32*VALORI!$B$3)+(AL$33*VALORI!$B$5),0)</f>
        <v>0</v>
      </c>
      <c r="AM73" s="28">
        <f>IF(AM18&gt;0, (AM$30*VALORI!$B$4)+(AM$31*VALORI!$B$4)+(AM$32*VALORI!$B$3)+(AM$33*VALORI!$B$5),0)</f>
        <v>0</v>
      </c>
      <c r="AN73" s="28">
        <f>IF(AN18&gt;0, (AN$30*VALORI!$B$4)+(AN$31*VALORI!$B$4)+(AN$32*VALORI!$B$3)+(AN$33*VALORI!$B$5),0)</f>
        <v>0</v>
      </c>
      <c r="AP73" s="28">
        <f>IF(AP18&gt;0, (AP$30*VALORI!$B$4)+(AP$31*VALORI!$B$4)+(AP$32*VALORI!$B$3)+(AP$33*VALORI!$B$5),0)</f>
        <v>0</v>
      </c>
      <c r="AQ73" s="28">
        <f>IF(AQ18&gt;0, (AQ$30*VALORI!$B$4)+(AQ$31*VALORI!$B$4)+(AQ$32*VALORI!$B$3)+(AQ$33*VALORI!$B$5),0)</f>
        <v>0</v>
      </c>
      <c r="AR73" s="28">
        <f>IF(AR18&gt;0, (AR$30*VALORI!$B$4)+(AR$31*VALORI!$B$4)+(AR$32*VALORI!$B$3)+(AR$33*VALORI!$B$5),0)</f>
        <v>0</v>
      </c>
      <c r="AS73" s="28">
        <f>IF(AS18&gt;0, (AS$30*VALORI!$B$4)+(AS$31*VALORI!$B$4)+(AS$32*VALORI!$B$3)+(AS$33*VALORI!$B$5),0)</f>
        <v>0</v>
      </c>
    </row>
    <row r="74" spans="22:45" ht="15.75" x14ac:dyDescent="0.25">
      <c r="V74" s="28">
        <f>IF(V19&gt;0, (V$30*VALORI!$B$4)+(V$31*VALORI!$B$4)+(V$32*VALORI!$B$3)+(V$33*VALORI!$B$5),0)</f>
        <v>1240</v>
      </c>
      <c r="W74" s="28">
        <f>IF(W19&gt;0, (W$30*VALORI!$B$4)+(W$31*VALORI!$B$4)+(W$32*VALORI!$B$3)+(W$33*VALORI!$B$5),0)</f>
        <v>3720</v>
      </c>
      <c r="X74" s="28">
        <f>IF(X19&gt;0, (X$30*VALORI!$B$4)+(X$31*VALORI!$B$4)+(X$32*VALORI!$B$3)+(X$33*VALORI!$B$5),0)</f>
        <v>992</v>
      </c>
      <c r="Y74" s="28">
        <f>IF(Y19&gt;0, (Y$30*VALORI!$B$4)+(Y$31*VALORI!$B$4)+(Y$32*VALORI!$B$3)+(Y$33*VALORI!$B$5),0)</f>
        <v>992</v>
      </c>
      <c r="Z74" s="28">
        <f>IF(Z19&gt;0, (Z$30*VALORI!$B$4)+(Z$31*VALORI!$B$4)+(Z$32*VALORI!$B$3)+(Z$33*VALORI!$B$5),0)</f>
        <v>642</v>
      </c>
      <c r="AA74" s="28">
        <f>IF(AA19&gt;0, (AA$30*VALORI!$B$4)+(AA$31*VALORI!$B$4)+(AA$32*VALORI!$B$3)+(AA$33*VALORI!$B$5),0)</f>
        <v>0</v>
      </c>
      <c r="AB74" s="28">
        <f>IF(AB19&gt;0, (AB$30*VALORI!$B$4)+(AB$31*VALORI!$B$4)+(AB$32*VALORI!$B$3)+(AB$33*VALORI!$B$5),0)</f>
        <v>0</v>
      </c>
      <c r="AC74" s="28">
        <f>IF(AC19&gt;0, (AC$30*VALORI!$B$4)+(AC$31*VALORI!$B$4)+(AC$32*VALORI!$B$3)+(AC$33*VALORI!$B$5),0)</f>
        <v>0</v>
      </c>
      <c r="AD74" s="28">
        <f>IF(AD19&gt;0, (AD$30*VALORI!$B$4)+(AD$31*VALORI!$B$4)+(AD$32*VALORI!$B$3)+(AD$33*VALORI!$B$5),0)</f>
        <v>0</v>
      </c>
      <c r="AE74" s="28">
        <f>IF(AE19&gt;0, (AE$30*VALORI!$B$4)+(AE$31*VALORI!$B$4)+(AE$32*VALORI!$B$3)+(AE$33*VALORI!$B$5),0)</f>
        <v>0</v>
      </c>
      <c r="AF74" s="28">
        <f>IF(AF19&gt;0, (AF$30*VALORI!$B$4)+(AF$31*VALORI!$B$4)+(AF$32*VALORI!$B$3)+(AF$33*VALORI!$B$5),0)</f>
        <v>0</v>
      </c>
      <c r="AG74" s="28">
        <f>IF(AG19&gt;0, (AG$30*VALORI!$B$4)+(AG$31*VALORI!$B$4)+(AG$32*VALORI!$B$3)+(AG$33*VALORI!$B$5),0)</f>
        <v>0</v>
      </c>
      <c r="AH74" s="28">
        <f>IF(AH19&gt;0, (AH$30*VALORI!$B$4)+(AH$31*VALORI!$B$4)+(AH$32*VALORI!$B$3)+(AH$33*VALORI!$B$5),0)</f>
        <v>0</v>
      </c>
      <c r="AI74" s="28">
        <f>IF(AI19&gt;0, (AI$30*VALORI!$B$4)+(AI$31*VALORI!$B$4)+(AI$32*VALORI!$B$3)+(AI$33*VALORI!$B$5),0)</f>
        <v>0</v>
      </c>
      <c r="AJ74" s="28">
        <f>IF(AJ19&gt;0, (AJ$30*VALORI!$B$4)+(AJ$31*VALORI!$B$4)+(AJ$32*VALORI!$B$3)+(AJ$33*VALORI!$B$5),0)</f>
        <v>0</v>
      </c>
      <c r="AK74" s="28">
        <f>IF(AK19&gt;0, (AK$30*VALORI!$B$4)+(AK$31*VALORI!$B$4)+(AK$32*VALORI!$B$3)+(AK$33*VALORI!$B$5),0)</f>
        <v>0</v>
      </c>
      <c r="AL74" s="28">
        <f>IF(AL19&gt;0, (AL$30*VALORI!$B$4)+(AL$31*VALORI!$B$4)+(AL$32*VALORI!$B$3)+(AL$33*VALORI!$B$5),0)</f>
        <v>0</v>
      </c>
      <c r="AM74" s="28">
        <f>IF(AM19&gt;0, (AM$30*VALORI!$B$4)+(AM$31*VALORI!$B$4)+(AM$32*VALORI!$B$3)+(AM$33*VALORI!$B$5),0)</f>
        <v>0</v>
      </c>
      <c r="AN74" s="28">
        <f>IF(AN19&gt;0, (AN$30*VALORI!$B$4)+(AN$31*VALORI!$B$4)+(AN$32*VALORI!$B$3)+(AN$33*VALORI!$B$5),0)</f>
        <v>0</v>
      </c>
      <c r="AP74" s="28">
        <f>IF(AP19&gt;0, (AP$30*VALORI!$B$4)+(AP$31*VALORI!$B$4)+(AP$32*VALORI!$B$3)+(AP$33*VALORI!$B$5),0)</f>
        <v>0</v>
      </c>
      <c r="AQ74" s="28">
        <f>IF(AQ19&gt;0, (AQ$30*VALORI!$B$4)+(AQ$31*VALORI!$B$4)+(AQ$32*VALORI!$B$3)+(AQ$33*VALORI!$B$5),0)</f>
        <v>0</v>
      </c>
      <c r="AR74" s="28">
        <f>IF(AR19&gt;0, (AR$30*VALORI!$B$4)+(AR$31*VALORI!$B$4)+(AR$32*VALORI!$B$3)+(AR$33*VALORI!$B$5),0)</f>
        <v>0</v>
      </c>
      <c r="AS74" s="28">
        <f>IF(AS19&gt;0, (AS$30*VALORI!$B$4)+(AS$31*VALORI!$B$4)+(AS$32*VALORI!$B$3)+(AS$33*VALORI!$B$5),0)</f>
        <v>0</v>
      </c>
    </row>
  </sheetData>
  <sheetProtection algorithmName="SHA-512" hashValue="hcBhJ/+GvtzmcjSCMUECC7CDhnnDD2eFSjR5ETfZMoVOABBuy51ja4adqLqSFaWeqc1sVRBSzSMgvwWiNrSXkQ==" saltValue="iVrt5GSbvvtJuW9cx5VA6Q==" spinCount="100000" sheet="1" objects="1" scenarios="1"/>
  <mergeCells count="2">
    <mergeCell ref="A1:T1"/>
    <mergeCell ref="N30:O33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74"/>
  <sheetViews>
    <sheetView zoomScale="70" zoomScaleNormal="70" workbookViewId="0">
      <selection activeCell="A29" sqref="A21:XFD29"/>
    </sheetView>
  </sheetViews>
  <sheetFormatPr defaultColWidth="8.85546875" defaultRowHeight="15" x14ac:dyDescent="0.25"/>
  <cols>
    <col min="1" max="1" width="18.7109375" customWidth="1"/>
    <col min="2" max="2" width="31.85546875" bestFit="1" customWidth="1"/>
    <col min="3" max="3" width="21.7109375" bestFit="1" customWidth="1"/>
    <col min="4" max="4" width="19.28515625" customWidth="1"/>
    <col min="5" max="5" width="8.28515625" customWidth="1"/>
    <col min="6" max="6" width="36" customWidth="1"/>
    <col min="7" max="7" width="16.85546875" customWidth="1"/>
    <col min="8" max="8" width="6.5703125" customWidth="1"/>
    <col min="9" max="14" width="5.7109375" customWidth="1"/>
    <col min="15" max="15" width="13.28515625" customWidth="1"/>
    <col min="16" max="16" width="12.85546875" bestFit="1" customWidth="1"/>
    <col min="17" max="18" width="13.140625" bestFit="1" customWidth="1"/>
    <col min="19" max="19" width="33.42578125" customWidth="1"/>
    <col min="20" max="20" width="13.42578125" customWidth="1"/>
    <col min="21" max="21" width="13.42578125" bestFit="1" customWidth="1"/>
    <col min="22" max="22" width="9.140625"/>
    <col min="23" max="24" width="12.140625" customWidth="1"/>
    <col min="25" max="26" width="12.140625" bestFit="1" customWidth="1"/>
    <col min="27" max="27" width="12.140625" customWidth="1"/>
    <col min="28" max="28" width="11.5703125" customWidth="1"/>
    <col min="29" max="33" width="12.140625" bestFit="1" customWidth="1"/>
    <col min="34" max="37" width="12.140625" customWidth="1"/>
    <col min="38" max="38" width="11.140625" bestFit="1" customWidth="1"/>
    <col min="39" max="42" width="11.5703125" hidden="1" customWidth="1"/>
    <col min="43" max="43" width="1.85546875" hidden="1" customWidth="1"/>
    <col min="44" max="45" width="12.28515625" hidden="1" customWidth="1"/>
  </cols>
  <sheetData>
    <row r="1" spans="1:47" ht="21.75" thickBot="1" x14ac:dyDescent="0.35">
      <c r="A1" s="215" t="s">
        <v>221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7"/>
      <c r="W1" s="51" t="s">
        <v>13</v>
      </c>
      <c r="X1" s="51" t="s">
        <v>13</v>
      </c>
      <c r="Y1" s="38" t="s">
        <v>13</v>
      </c>
      <c r="Z1" s="38" t="s">
        <v>13</v>
      </c>
      <c r="AA1" s="50" t="s">
        <v>13</v>
      </c>
      <c r="AB1" s="50"/>
      <c r="AC1" s="45" t="s">
        <v>13</v>
      </c>
      <c r="AD1" s="44" t="s">
        <v>13</v>
      </c>
      <c r="AE1" s="44" t="s">
        <v>13</v>
      </c>
      <c r="AF1" s="44" t="s">
        <v>13</v>
      </c>
      <c r="AG1" s="44" t="s">
        <v>13</v>
      </c>
      <c r="AH1" s="45" t="s">
        <v>13</v>
      </c>
      <c r="AI1" s="46" t="s">
        <v>13</v>
      </c>
      <c r="AJ1" s="46" t="s">
        <v>13</v>
      </c>
      <c r="AK1" s="46" t="s">
        <v>13</v>
      </c>
      <c r="AL1" s="37" t="s">
        <v>13</v>
      </c>
      <c r="AM1" s="42" t="s">
        <v>13</v>
      </c>
      <c r="AN1" s="42" t="s">
        <v>13</v>
      </c>
      <c r="AO1" s="42" t="s">
        <v>13</v>
      </c>
      <c r="AP1" s="42" t="s">
        <v>13</v>
      </c>
      <c r="AQ1" s="47"/>
      <c r="AR1" s="43" t="s">
        <v>13</v>
      </c>
      <c r="AS1" s="43" t="s">
        <v>13</v>
      </c>
    </row>
    <row r="2" spans="1:47" ht="200.25" customHeight="1" x14ac:dyDescent="0.25">
      <c r="A2" s="6" t="s">
        <v>14</v>
      </c>
      <c r="B2" s="6" t="s">
        <v>222</v>
      </c>
      <c r="C2" s="6" t="s">
        <v>223</v>
      </c>
      <c r="D2" s="6"/>
      <c r="E2" s="6"/>
      <c r="F2" s="6" t="s">
        <v>19</v>
      </c>
      <c r="G2" s="6" t="s">
        <v>20</v>
      </c>
      <c r="H2" s="6"/>
      <c r="I2" s="14" t="s">
        <v>21</v>
      </c>
      <c r="J2" s="14" t="s">
        <v>22</v>
      </c>
      <c r="K2" s="14" t="s">
        <v>23</v>
      </c>
      <c r="L2" s="14" t="s">
        <v>24</v>
      </c>
      <c r="M2" s="14" t="s">
        <v>25</v>
      </c>
      <c r="N2" s="14" t="s">
        <v>26</v>
      </c>
      <c r="O2" s="18" t="s">
        <v>27</v>
      </c>
      <c r="P2" s="15" t="s">
        <v>28</v>
      </c>
      <c r="Q2" s="20" t="s">
        <v>29</v>
      </c>
      <c r="R2" s="22" t="s">
        <v>30</v>
      </c>
      <c r="S2" s="21" t="s">
        <v>301</v>
      </c>
      <c r="T2" s="31" t="s">
        <v>31</v>
      </c>
      <c r="U2" s="31" t="s">
        <v>32</v>
      </c>
      <c r="W2" s="36" t="s">
        <v>33</v>
      </c>
      <c r="X2" s="36" t="s">
        <v>34</v>
      </c>
      <c r="Y2" s="36" t="s">
        <v>35</v>
      </c>
      <c r="Z2" s="36" t="s">
        <v>36</v>
      </c>
      <c r="AA2" s="36" t="s">
        <v>37</v>
      </c>
      <c r="AB2" s="36" t="s">
        <v>318</v>
      </c>
      <c r="AC2" s="36" t="s">
        <v>38</v>
      </c>
      <c r="AD2" s="36" t="s">
        <v>39</v>
      </c>
      <c r="AE2" s="36" t="s">
        <v>40</v>
      </c>
      <c r="AF2" s="36" t="s">
        <v>41</v>
      </c>
      <c r="AG2" s="36" t="s">
        <v>42</v>
      </c>
      <c r="AH2" s="36"/>
      <c r="AI2" s="36"/>
      <c r="AJ2" s="36"/>
      <c r="AK2" s="36" t="s">
        <v>46</v>
      </c>
      <c r="AL2" s="36" t="s">
        <v>47</v>
      </c>
      <c r="AM2" s="36" t="s">
        <v>49</v>
      </c>
      <c r="AN2" s="36" t="s">
        <v>50</v>
      </c>
      <c r="AO2" s="36" t="s">
        <v>224</v>
      </c>
      <c r="AP2" s="36" t="s">
        <v>51</v>
      </c>
      <c r="AQ2" s="48"/>
      <c r="AR2" s="36" t="s">
        <v>52</v>
      </c>
      <c r="AS2" s="36" t="s">
        <v>53</v>
      </c>
    </row>
    <row r="3" spans="1:47" ht="20.25" customHeight="1" x14ac:dyDescent="0.35">
      <c r="A3" s="11">
        <v>600</v>
      </c>
      <c r="B3" s="19" t="s">
        <v>331</v>
      </c>
      <c r="C3" s="19" t="s">
        <v>328</v>
      </c>
      <c r="D3" s="19" t="s">
        <v>54</v>
      </c>
      <c r="E3" s="19" t="s">
        <v>54</v>
      </c>
      <c r="F3" s="19" t="s">
        <v>225</v>
      </c>
      <c r="G3" s="19" t="s">
        <v>226</v>
      </c>
      <c r="H3" s="19"/>
      <c r="I3" s="40">
        <v>90</v>
      </c>
      <c r="J3" s="41">
        <v>60</v>
      </c>
      <c r="K3" s="41">
        <v>40</v>
      </c>
      <c r="L3" s="41">
        <v>350</v>
      </c>
      <c r="M3" s="41">
        <v>50</v>
      </c>
      <c r="N3" s="41">
        <v>80</v>
      </c>
      <c r="O3" s="9">
        <f>(VALORI!B$3 * COUSCOUS!I3) + (VALORI!B$4 * COUSCOUS!J3) + (VALORI!B$4 * COUSCOUS!K3) + (VALORI!B$5 * COUSCOUS!L3) + (VALORI!B$6 * COUSCOUS!M3) + (VALORI!B$7 * COUSCOUS!N3)</f>
        <v>21770</v>
      </c>
      <c r="P3" s="13">
        <f>(O3*25%)+O3</f>
        <v>27212.5</v>
      </c>
      <c r="Q3" s="25">
        <v>51963.912000000004</v>
      </c>
      <c r="R3" s="26">
        <f>(Q3*20%)+Q3</f>
        <v>62356.694400000008</v>
      </c>
      <c r="S3" s="27" t="s">
        <v>227</v>
      </c>
      <c r="T3" s="28">
        <f t="shared" ref="T3:U6" si="0">O3+Q3</f>
        <v>73733.912000000011</v>
      </c>
      <c r="U3" s="28">
        <f t="shared" si="0"/>
        <v>89569.194400000008</v>
      </c>
      <c r="V3" s="35" t="s">
        <v>55</v>
      </c>
      <c r="W3" s="28">
        <f>(Q3*6%)</f>
        <v>3117.8347200000003</v>
      </c>
      <c r="X3" s="28">
        <f>(Q3*20%)</f>
        <v>10392.782400000002</v>
      </c>
      <c r="Y3" s="28">
        <v>4000</v>
      </c>
      <c r="Z3" s="28">
        <f>(Y3*65%)+Y3</f>
        <v>6600</v>
      </c>
      <c r="AA3" s="28">
        <v>3800</v>
      </c>
      <c r="AB3" s="28">
        <v>5500</v>
      </c>
      <c r="AC3" s="28">
        <v>1300</v>
      </c>
      <c r="AD3" s="28">
        <v>8000</v>
      </c>
      <c r="AE3" s="28">
        <v>2200</v>
      </c>
      <c r="AF3" s="28">
        <v>2800</v>
      </c>
      <c r="AG3" s="28">
        <v>1100</v>
      </c>
      <c r="AH3" s="28"/>
      <c r="AI3" s="28"/>
      <c r="AJ3" s="28"/>
      <c r="AK3" s="28" t="s">
        <v>63</v>
      </c>
      <c r="AL3" s="28">
        <v>8000</v>
      </c>
      <c r="AM3" s="28">
        <v>4800</v>
      </c>
      <c r="AN3" s="28">
        <v>1100</v>
      </c>
      <c r="AO3" s="28">
        <v>400</v>
      </c>
      <c r="AP3" s="28">
        <v>2880</v>
      </c>
      <c r="AQ3" s="49"/>
      <c r="AR3" s="28">
        <v>36650</v>
      </c>
      <c r="AS3" s="28">
        <v>29290</v>
      </c>
    </row>
    <row r="4" spans="1:47" ht="20.25" customHeight="1" x14ac:dyDescent="0.35">
      <c r="A4" s="11">
        <v>1200</v>
      </c>
      <c r="B4" s="19" t="s">
        <v>228</v>
      </c>
      <c r="C4" s="19" t="s">
        <v>229</v>
      </c>
      <c r="D4" s="19" t="s">
        <v>54</v>
      </c>
      <c r="E4" s="19" t="s">
        <v>54</v>
      </c>
      <c r="F4" s="19" t="s">
        <v>311</v>
      </c>
      <c r="G4" s="19" t="s">
        <v>230</v>
      </c>
      <c r="H4" s="19"/>
      <c r="I4" s="40">
        <v>100</v>
      </c>
      <c r="J4" s="41">
        <v>70</v>
      </c>
      <c r="K4" s="41">
        <v>50</v>
      </c>
      <c r="L4" s="41">
        <v>450</v>
      </c>
      <c r="M4" s="41">
        <v>60</v>
      </c>
      <c r="N4" s="41">
        <v>100</v>
      </c>
      <c r="O4" s="9">
        <f>(VALORI!B$3 * COUSCOUS!I4) + (VALORI!B$4 * COUSCOUS!J4) + (VALORI!B$4 * COUSCOUS!K4) + (VALORI!B$5 * COUSCOUS!L4) + (VALORI!B$6 * COUSCOUS!M4) + (VALORI!B$7 * COUSCOUS!N4)</f>
        <v>26850</v>
      </c>
      <c r="P4" s="13">
        <f>(O4*25%)+O4</f>
        <v>33562.5</v>
      </c>
      <c r="Q4" s="25">
        <v>74591.054999999993</v>
      </c>
      <c r="R4" s="26">
        <f t="shared" ref="R4:R6" si="1">(Q4*20%)+Q4</f>
        <v>89509.265999999989</v>
      </c>
      <c r="S4" s="27" t="s">
        <v>231</v>
      </c>
      <c r="T4" s="28">
        <f t="shared" si="0"/>
        <v>101441.05499999999</v>
      </c>
      <c r="U4" s="28">
        <f t="shared" si="0"/>
        <v>123071.76599999999</v>
      </c>
      <c r="V4" s="35" t="s">
        <v>55</v>
      </c>
      <c r="W4" s="28">
        <f>(Q4*6%)</f>
        <v>4475.4632999999994</v>
      </c>
      <c r="X4" s="28">
        <f>(Q4*20%)</f>
        <v>14918.210999999999</v>
      </c>
      <c r="Y4" s="28">
        <v>8000</v>
      </c>
      <c r="Z4" s="28">
        <f>(Y4*65%)+Y4</f>
        <v>13200</v>
      </c>
      <c r="AA4" s="28">
        <v>3800</v>
      </c>
      <c r="AB4" s="28">
        <v>5500</v>
      </c>
      <c r="AC4" s="28">
        <v>1300</v>
      </c>
      <c r="AD4" s="28">
        <v>8000</v>
      </c>
      <c r="AE4" s="28">
        <v>2200</v>
      </c>
      <c r="AF4" s="28">
        <v>2800</v>
      </c>
      <c r="AG4" s="28">
        <v>1100</v>
      </c>
      <c r="AH4" s="28"/>
      <c r="AI4" s="28"/>
      <c r="AJ4" s="28"/>
      <c r="AK4" s="28" t="s">
        <v>63</v>
      </c>
      <c r="AL4" s="28">
        <v>8000</v>
      </c>
      <c r="AM4" s="28">
        <v>4800</v>
      </c>
      <c r="AN4" s="28">
        <v>1100</v>
      </c>
      <c r="AO4" s="28">
        <v>400</v>
      </c>
      <c r="AP4" s="28">
        <v>2880</v>
      </c>
      <c r="AQ4" s="49"/>
      <c r="AR4" s="28">
        <v>36650</v>
      </c>
      <c r="AS4" s="28">
        <v>29290</v>
      </c>
    </row>
    <row r="5" spans="1:47" ht="20.25" customHeight="1" x14ac:dyDescent="0.35">
      <c r="A5" s="11">
        <v>2400</v>
      </c>
      <c r="B5" s="19" t="s">
        <v>232</v>
      </c>
      <c r="C5" s="19" t="s">
        <v>233</v>
      </c>
      <c r="D5" s="19" t="s">
        <v>54</v>
      </c>
      <c r="E5" s="19" t="s">
        <v>54</v>
      </c>
      <c r="F5" s="19" t="s">
        <v>332</v>
      </c>
      <c r="G5" s="19" t="s">
        <v>234</v>
      </c>
      <c r="H5" s="19"/>
      <c r="I5" s="41">
        <v>110</v>
      </c>
      <c r="J5" s="41">
        <v>80</v>
      </c>
      <c r="K5" s="41">
        <v>60</v>
      </c>
      <c r="L5" s="41">
        <v>620</v>
      </c>
      <c r="M5" s="41">
        <v>65</v>
      </c>
      <c r="N5" s="41">
        <v>100</v>
      </c>
      <c r="O5" s="9">
        <f>(VALORI!B$3 * COUSCOUS!I5) + (VALORI!B$4 * COUSCOUS!J5) + (VALORI!B$4 * COUSCOUS!K5) + (VALORI!B$5 * COUSCOUS!L5) + (VALORI!B$6 * COUSCOUS!M5) + (VALORI!B$7 * COUSCOUS!N5)</f>
        <v>33055</v>
      </c>
      <c r="P5" s="13">
        <f>(O5*25%)+O5</f>
        <v>41318.75</v>
      </c>
      <c r="Q5" s="25">
        <v>87677.205000000002</v>
      </c>
      <c r="R5" s="26">
        <f t="shared" si="1"/>
        <v>105212.64600000001</v>
      </c>
      <c r="S5" s="27" t="s">
        <v>235</v>
      </c>
      <c r="T5" s="28">
        <f t="shared" si="0"/>
        <v>120732.205</v>
      </c>
      <c r="U5" s="28">
        <f t="shared" si="0"/>
        <v>146531.39600000001</v>
      </c>
      <c r="V5" s="35" t="s">
        <v>55</v>
      </c>
      <c r="W5" s="28">
        <f t="shared" ref="W5:W6" si="2">(Q5*6%)</f>
        <v>5260.6323000000002</v>
      </c>
      <c r="X5" s="28">
        <f t="shared" ref="X5:X6" si="3">(Q5*20%)</f>
        <v>17535.441000000003</v>
      </c>
      <c r="Y5" s="28">
        <v>10000</v>
      </c>
      <c r="Z5" s="28">
        <f t="shared" ref="Z5:Z6" si="4">(Y5*65%)+Y5</f>
        <v>16500</v>
      </c>
      <c r="AA5" s="28">
        <v>3800</v>
      </c>
      <c r="AB5" s="28">
        <v>5500</v>
      </c>
      <c r="AC5" s="28">
        <v>1300</v>
      </c>
      <c r="AD5" s="28">
        <v>8000</v>
      </c>
      <c r="AE5" s="28">
        <v>2200</v>
      </c>
      <c r="AF5" s="28">
        <v>2800</v>
      </c>
      <c r="AG5" s="28">
        <v>1100</v>
      </c>
      <c r="AH5" s="28"/>
      <c r="AI5" s="28"/>
      <c r="AJ5" s="28"/>
      <c r="AK5" s="28" t="s">
        <v>63</v>
      </c>
      <c r="AL5" s="28">
        <v>8000</v>
      </c>
      <c r="AM5" s="28">
        <v>4800</v>
      </c>
      <c r="AN5" s="28">
        <v>1100</v>
      </c>
      <c r="AO5" s="28">
        <v>400</v>
      </c>
      <c r="AP5" s="28">
        <v>2880</v>
      </c>
      <c r="AQ5" s="49"/>
      <c r="AR5" s="28">
        <v>36650</v>
      </c>
      <c r="AS5" s="28">
        <v>29290</v>
      </c>
    </row>
    <row r="6" spans="1:47" ht="20.25" customHeight="1" x14ac:dyDescent="0.35">
      <c r="A6" s="11">
        <v>3000</v>
      </c>
      <c r="B6" s="19" t="s">
        <v>236</v>
      </c>
      <c r="C6" s="19" t="s">
        <v>237</v>
      </c>
      <c r="D6" s="19" t="s">
        <v>54</v>
      </c>
      <c r="E6" s="19" t="s">
        <v>54</v>
      </c>
      <c r="F6" s="19" t="s">
        <v>333</v>
      </c>
      <c r="G6" s="19" t="s">
        <v>54</v>
      </c>
      <c r="H6" s="19"/>
      <c r="I6" s="41">
        <v>120</v>
      </c>
      <c r="J6" s="41">
        <v>90</v>
      </c>
      <c r="K6" s="41">
        <v>70</v>
      </c>
      <c r="L6" s="41">
        <v>700</v>
      </c>
      <c r="M6" s="41">
        <v>70</v>
      </c>
      <c r="N6" s="41">
        <v>100</v>
      </c>
      <c r="O6" s="9">
        <f>(VALORI!B$3 * COUSCOUS!I6) + (VALORI!B$4 * COUSCOUS!J6) + (VALORI!B$4 * COUSCOUS!K6) + (VALORI!B$5 * COUSCOUS!L6) + (VALORI!B$6 * COUSCOUS!M6) + (VALORI!B$7 * COUSCOUS!N6)</f>
        <v>36650</v>
      </c>
      <c r="P6" s="13">
        <f t="shared" ref="P6" si="5">(O6*25%)+O6</f>
        <v>45812.5</v>
      </c>
      <c r="Q6" s="25">
        <v>95528.895000000019</v>
      </c>
      <c r="R6" s="26">
        <f t="shared" si="1"/>
        <v>114634.67400000003</v>
      </c>
      <c r="S6" s="27" t="s">
        <v>238</v>
      </c>
      <c r="T6" s="28">
        <f t="shared" si="0"/>
        <v>132178.89500000002</v>
      </c>
      <c r="U6" s="28">
        <f t="shared" si="0"/>
        <v>160447.17400000003</v>
      </c>
      <c r="V6" s="35" t="s">
        <v>55</v>
      </c>
      <c r="W6" s="28">
        <f t="shared" si="2"/>
        <v>5731.7337000000007</v>
      </c>
      <c r="X6" s="28">
        <f t="shared" si="3"/>
        <v>19105.779000000006</v>
      </c>
      <c r="Y6" s="28">
        <v>12000</v>
      </c>
      <c r="Z6" s="28">
        <f t="shared" si="4"/>
        <v>19800</v>
      </c>
      <c r="AA6" s="28">
        <v>3800</v>
      </c>
      <c r="AB6" s="28">
        <v>5500</v>
      </c>
      <c r="AC6" s="28">
        <v>1300</v>
      </c>
      <c r="AD6" s="28">
        <v>8000</v>
      </c>
      <c r="AE6" s="28">
        <v>2200</v>
      </c>
      <c r="AF6" s="28">
        <v>2800</v>
      </c>
      <c r="AG6" s="28">
        <v>1100</v>
      </c>
      <c r="AH6" s="28"/>
      <c r="AI6" s="28"/>
      <c r="AJ6" s="28"/>
      <c r="AK6" s="28" t="s">
        <v>63</v>
      </c>
      <c r="AL6" s="28">
        <v>8000</v>
      </c>
      <c r="AM6" s="28">
        <v>4800</v>
      </c>
      <c r="AN6" s="28">
        <v>1100</v>
      </c>
      <c r="AO6" s="28">
        <v>400</v>
      </c>
      <c r="AP6" s="28">
        <v>2880</v>
      </c>
      <c r="AQ6" s="49"/>
      <c r="AR6" s="28">
        <v>36650</v>
      </c>
      <c r="AS6" s="28">
        <v>29290</v>
      </c>
    </row>
    <row r="14" spans="1:47" ht="15.75" x14ac:dyDescent="0.25">
      <c r="AP14" s="49"/>
      <c r="AU14" s="49"/>
    </row>
    <row r="15" spans="1:47" ht="15.75" x14ac:dyDescent="0.25">
      <c r="AP15" s="49"/>
      <c r="AU15" s="49"/>
    </row>
    <row r="16" spans="1:47" ht="15.75" x14ac:dyDescent="0.25">
      <c r="AP16" s="49"/>
      <c r="AU16" s="49"/>
    </row>
    <row r="17" spans="15:47" ht="15.75" x14ac:dyDescent="0.25">
      <c r="AP17" s="49"/>
      <c r="AU17" s="49"/>
    </row>
    <row r="18" spans="15:47" ht="15.75" x14ac:dyDescent="0.25">
      <c r="AP18" s="49"/>
      <c r="AU18" s="49"/>
    </row>
    <row r="19" spans="15:47" ht="15.75" x14ac:dyDescent="0.25">
      <c r="AP19" s="49"/>
      <c r="AU19" s="49"/>
    </row>
    <row r="20" spans="15:47" ht="15.75" x14ac:dyDescent="0.25">
      <c r="AP20" s="49"/>
      <c r="AU20" s="49"/>
    </row>
    <row r="21" spans="15:47" ht="15.75" x14ac:dyDescent="0.25">
      <c r="AP21" s="49"/>
      <c r="AU21" s="49"/>
    </row>
    <row r="30" spans="15:47" ht="15.75" customHeight="1" x14ac:dyDescent="0.25">
      <c r="O30" s="218" t="s">
        <v>115</v>
      </c>
      <c r="P30" s="219"/>
      <c r="Q30" s="28" t="s">
        <v>116</v>
      </c>
      <c r="R30" s="28" t="s">
        <v>63</v>
      </c>
      <c r="S30" s="5"/>
      <c r="T30" s="28"/>
      <c r="U30" s="28"/>
      <c r="V30" s="28"/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4</v>
      </c>
      <c r="AD30" s="53">
        <v>8</v>
      </c>
      <c r="AE30" s="53">
        <v>8</v>
      </c>
      <c r="AF30" s="53">
        <v>8</v>
      </c>
      <c r="AG30" s="53">
        <v>8</v>
      </c>
      <c r="AH30" s="53"/>
      <c r="AI30" s="53"/>
      <c r="AJ30" s="53"/>
      <c r="AK30" s="53"/>
      <c r="AL30" s="53">
        <v>0</v>
      </c>
    </row>
    <row r="31" spans="15:47" ht="15.75" customHeight="1" x14ac:dyDescent="0.25">
      <c r="O31" s="220"/>
      <c r="P31" s="221"/>
      <c r="Q31" s="28" t="s">
        <v>117</v>
      </c>
      <c r="R31" s="28" t="s">
        <v>63</v>
      </c>
      <c r="S31" s="5"/>
      <c r="T31" s="28"/>
      <c r="U31" s="28"/>
      <c r="V31" s="28"/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8</v>
      </c>
      <c r="AD31" s="53">
        <v>8</v>
      </c>
      <c r="AE31" s="53">
        <v>8</v>
      </c>
      <c r="AF31" s="53">
        <v>8</v>
      </c>
      <c r="AG31" s="53">
        <v>8</v>
      </c>
      <c r="AH31" s="53"/>
      <c r="AI31" s="53"/>
      <c r="AJ31" s="53"/>
      <c r="AK31" s="53"/>
      <c r="AL31" s="53">
        <v>0</v>
      </c>
    </row>
    <row r="32" spans="15:47" ht="15.75" customHeight="1" x14ac:dyDescent="0.25">
      <c r="O32" s="220"/>
      <c r="P32" s="221"/>
      <c r="Q32" s="28" t="s">
        <v>118</v>
      </c>
      <c r="R32" s="53">
        <v>30</v>
      </c>
      <c r="S32" s="5"/>
      <c r="T32" s="28"/>
      <c r="U32" s="28"/>
      <c r="V32" s="28"/>
      <c r="W32" s="53">
        <v>10</v>
      </c>
      <c r="X32" s="53">
        <v>30</v>
      </c>
      <c r="Y32" s="53">
        <v>8</v>
      </c>
      <c r="Z32" s="53">
        <v>8</v>
      </c>
      <c r="AA32" s="53">
        <v>8</v>
      </c>
      <c r="AB32" s="53">
        <v>2</v>
      </c>
      <c r="AC32" s="53">
        <v>6</v>
      </c>
      <c r="AD32" s="53">
        <v>8</v>
      </c>
      <c r="AE32" s="53">
        <v>10</v>
      </c>
      <c r="AF32" s="53">
        <v>10</v>
      </c>
      <c r="AG32" s="53">
        <v>10</v>
      </c>
      <c r="AH32" s="53"/>
      <c r="AI32" s="53"/>
      <c r="AJ32" s="53"/>
      <c r="AK32" s="53"/>
      <c r="AL32" s="53">
        <v>15</v>
      </c>
    </row>
    <row r="33" spans="15:46" ht="15.75" customHeight="1" x14ac:dyDescent="0.25">
      <c r="O33" s="222"/>
      <c r="P33" s="223"/>
      <c r="Q33" s="28" t="s">
        <v>119</v>
      </c>
      <c r="R33" s="53">
        <v>90</v>
      </c>
      <c r="S33" s="5"/>
      <c r="T33" s="28"/>
      <c r="U33" s="28"/>
      <c r="V33" s="28"/>
      <c r="W33" s="53">
        <v>30</v>
      </c>
      <c r="X33" s="53">
        <v>90</v>
      </c>
      <c r="Y33" s="53">
        <v>24</v>
      </c>
      <c r="Z33" s="53">
        <v>24</v>
      </c>
      <c r="AA33" s="53">
        <v>20</v>
      </c>
      <c r="AB33" s="53">
        <v>1</v>
      </c>
      <c r="AC33" s="53">
        <v>4</v>
      </c>
      <c r="AD33" s="53">
        <v>50</v>
      </c>
      <c r="AE33" s="53">
        <v>10</v>
      </c>
      <c r="AF33" s="53">
        <v>5</v>
      </c>
      <c r="AG33" s="53">
        <v>5</v>
      </c>
      <c r="AH33" s="53"/>
      <c r="AI33" s="53"/>
      <c r="AJ33" s="53"/>
      <c r="AK33" s="53"/>
      <c r="AL33" s="53">
        <v>3</v>
      </c>
    </row>
    <row r="34" spans="15:46" x14ac:dyDescent="0.25">
      <c r="AC34" s="52"/>
    </row>
    <row r="37" spans="15:46" ht="54.75" x14ac:dyDescent="0.25">
      <c r="O37" s="85">
        <v>44731</v>
      </c>
      <c r="P37" t="s">
        <v>303</v>
      </c>
      <c r="Q37" s="85" t="s">
        <v>344</v>
      </c>
      <c r="R37" s="85" t="s">
        <v>345</v>
      </c>
      <c r="W37" s="94" t="s">
        <v>339</v>
      </c>
      <c r="X37" s="94" t="s">
        <v>339</v>
      </c>
      <c r="Y37" s="94" t="s">
        <v>339</v>
      </c>
      <c r="Z37" s="94" t="s">
        <v>339</v>
      </c>
      <c r="AA37" s="94" t="s">
        <v>339</v>
      </c>
      <c r="AB37" s="94" t="s">
        <v>339</v>
      </c>
      <c r="AC37" s="94" t="s">
        <v>339</v>
      </c>
      <c r="AD37" s="94" t="s">
        <v>339</v>
      </c>
      <c r="AE37" s="94" t="s">
        <v>339</v>
      </c>
      <c r="AF37" s="94" t="s">
        <v>339</v>
      </c>
      <c r="AG37" s="94" t="s">
        <v>339</v>
      </c>
      <c r="AH37" s="94" t="s">
        <v>339</v>
      </c>
      <c r="AI37" s="94" t="s">
        <v>339</v>
      </c>
      <c r="AJ37" s="94" t="s">
        <v>339</v>
      </c>
      <c r="AK37" s="94" t="s">
        <v>339</v>
      </c>
      <c r="AL37" s="94" t="s">
        <v>339</v>
      </c>
      <c r="AM37" s="94" t="s">
        <v>339</v>
      </c>
      <c r="AN37" s="94" t="s">
        <v>339</v>
      </c>
      <c r="AO37" s="94" t="s">
        <v>339</v>
      </c>
      <c r="AQ37" s="94" t="s">
        <v>339</v>
      </c>
      <c r="AR37" s="94" t="s">
        <v>339</v>
      </c>
      <c r="AS37" s="94" t="s">
        <v>339</v>
      </c>
      <c r="AT37" s="94" t="s">
        <v>339</v>
      </c>
    </row>
    <row r="38" spans="15:46" ht="15.75" x14ac:dyDescent="0.25">
      <c r="O38" s="25">
        <v>44100</v>
      </c>
      <c r="P38" s="25">
        <f>O38*1.04</f>
        <v>45864</v>
      </c>
      <c r="Q38" s="25">
        <f>P38*1.1</f>
        <v>50450.400000000001</v>
      </c>
      <c r="R38" s="25">
        <f>(Q38*3%)+Q38</f>
        <v>51963.912000000004</v>
      </c>
      <c r="W38" s="28">
        <f>IF(W3&gt;0, W3-(W$30*VALORI!$B$4)-(W$31*VALORI!$B$4)-(W$32*VALORI!$B$3)-(W$33*VALORI!$B$5),0)</f>
        <v>1877.8347200000003</v>
      </c>
      <c r="X38" s="28">
        <f>IF(X3&gt;0, X3-(X$30*VALORI!$B$4)-(X$31*VALORI!$B$4)-(X$32*VALORI!$B$3)-(X$33*VALORI!$B$5),0)</f>
        <v>6672.7824000000019</v>
      </c>
      <c r="Y38" s="28">
        <f>IF(Y3&gt;0, Y3-(Y$30*VALORI!$B$4)-(Y$31*VALORI!$B$4)-(Y$32*VALORI!$B$3)-(Y$33*VALORI!$B$5),0)</f>
        <v>3008</v>
      </c>
      <c r="Z38" s="28">
        <f>IF(Z3&gt;0, Z3-(Z$30*VALORI!$B$4)-(Z$31*VALORI!$B$4)-(Z$32*VALORI!$B$3)-(Z$33*VALORI!$B$5),0)</f>
        <v>5608</v>
      </c>
      <c r="AA38" s="28">
        <f>IF(AA3&gt;0, AA3-(AA$30*VALORI!$B$4)-(AA$31*VALORI!$B$4)-(AA$32*VALORI!$B$3)-(AA$33*VALORI!$B$5),0)</f>
        <v>2924</v>
      </c>
      <c r="AB38" s="28">
        <f>IF(AB3&gt;0, AB3-(AB$30*VALORI!$B$4)-(AB$31*VALORI!$B$4)-(AB$32*VALORI!$B$3)-(AB$33*VALORI!$B$5),0)</f>
        <v>5397</v>
      </c>
      <c r="AC38" s="28">
        <f>IF(AC3&gt;0, AC3-(AC$30*VALORI!$B$4)-(AC$31*VALORI!$B$4)-(AC$32*VALORI!$B$3)-(AC$33*VALORI!$B$5),0)</f>
        <v>506</v>
      </c>
      <c r="AD38" s="28">
        <f>IF(AD3&gt;0, AD3-(AD$30*VALORI!$B$4)-(AD$31*VALORI!$B$4)-(AD$32*VALORI!$B$3)-(AD$33*VALORI!$B$5),0)</f>
        <v>5646</v>
      </c>
      <c r="AE38" s="28">
        <f>IF(AE3&gt;0, AE3-(AE$30*VALORI!$B$4)-(AE$31*VALORI!$B$4)-(AE$32*VALORI!$B$3)-(AE$33*VALORI!$B$5),0)</f>
        <v>932</v>
      </c>
      <c r="AF38" s="28">
        <f>IF(AF3&gt;0, AF3-(AF$30*VALORI!$B$4)-(AF$31*VALORI!$B$4)-(AF$32*VALORI!$B$3)-(AF$33*VALORI!$B$5),0)</f>
        <v>1677</v>
      </c>
      <c r="AG38" s="28">
        <f>IF(AG3&gt;0, AG3-(AG$30*VALORI!$B$4)-(AG$31*VALORI!$B$4)-(AG$32*VALORI!$B$3)-(AG$33*VALORI!$B$5),0)</f>
        <v>-23</v>
      </c>
      <c r="AH38" s="28">
        <f>IF(AH3&gt;0, AH3-(AH$30*VALORI!$B$4)-(AH$31*VALORI!$B$4)-(AH$32*VALORI!$B$3)-(AH$33*VALORI!$B$5),0)</f>
        <v>0</v>
      </c>
      <c r="AI38" s="28">
        <f>IF(AI3&gt;0, AI3-(AI$30*VALORI!$B$4)-(AI$31*VALORI!$B$4)-(AI$32*VALORI!$B$3)-(AI$33*VALORI!$B$5),0)</f>
        <v>0</v>
      </c>
      <c r="AJ38" s="28">
        <f>IF(AJ3&gt;0, AJ3-(AJ$30*VALORI!$B$4)-(AJ$31*VALORI!$B$4)-(AJ$32*VALORI!$B$3)-(AJ$33*VALORI!$B$5),0)</f>
        <v>0</v>
      </c>
      <c r="AK38" s="28" t="e">
        <f>IF(AK3&gt;0, AK3-(AK$30*VALORI!$B$4)-(AK$31*VALORI!$B$4)-(AK$32*VALORI!$B$3)-(AK$33*VALORI!$B$5),0)</f>
        <v>#VALUE!</v>
      </c>
      <c r="AL38" s="28">
        <f>IF(AL3&gt;0, AL3-(AL$30*VALORI!$B$4)-(AL$31*VALORI!$B$4)-(AL$32*VALORI!$B$3)-(AL$33*VALORI!$B$5),0)</f>
        <v>7358</v>
      </c>
      <c r="AM38" s="28">
        <f>IF(AM3&gt;0, AM3-(AM$30*VALORI!$B$4)-(AM$31*VALORI!$B$4)-(AM$32*VALORI!$B$3)-(AM$33*VALORI!$B$5),0)</f>
        <v>4800</v>
      </c>
      <c r="AN38" s="28">
        <f>IF(AN3&gt;0, AN3-(AN$30*VALORI!$B$4)-(AN$31*VALORI!$B$4)-(AN$32*VALORI!$B$3)-(AN$33*VALORI!$B$5),0)</f>
        <v>1100</v>
      </c>
      <c r="AO38" s="28">
        <f>IF(AO3&gt;0, AO3-(AO$30*VALORI!$B$4)-(AO$31*VALORI!$B$4)-(AO$32*VALORI!$B$3)-(AO$33*VALORI!$B$5),0)</f>
        <v>400</v>
      </c>
      <c r="AQ38" s="28">
        <f>IF(AQ3&gt;0, AQ3-(AQ$30*VALORI!$B$4)-(AQ$31*VALORI!$B$4)-(AQ$32*VALORI!$B$3)-(AQ$33*VALORI!$B$5),0)</f>
        <v>0</v>
      </c>
      <c r="AR38" s="28">
        <f>IF(AR3&gt;0, AR3-(AR$30*VALORI!$B$4)-(AR$31*VALORI!$B$4)-(AR$32*VALORI!$B$3)-(AR$33*VALORI!$B$5),0)</f>
        <v>36650</v>
      </c>
      <c r="AS38" s="28">
        <f>IF(AS3&gt;0, AS3-(AS$30*VALORI!$B$4)-(AS$31*VALORI!$B$4)-(AS$32*VALORI!$B$3)-(AS$33*VALORI!$B$5),0)</f>
        <v>29290</v>
      </c>
      <c r="AT38" s="28">
        <f>IF(AT3&gt;0, AT3-(AT$30*VALORI!$B$4)-(AT$31*VALORI!$B$4)-(AT$32*VALORI!$B$3)-(AT$33*VALORI!$B$5),0)</f>
        <v>0</v>
      </c>
    </row>
    <row r="39" spans="15:46" ht="15.75" x14ac:dyDescent="0.25">
      <c r="O39" s="25">
        <v>59850</v>
      </c>
      <c r="P39" s="25">
        <f t="shared" ref="P39:P41" si="6">O39*1.1</f>
        <v>65835</v>
      </c>
      <c r="Q39" s="25">
        <f t="shared" ref="Q39:Q41" si="7">P39*1.1</f>
        <v>72418.5</v>
      </c>
      <c r="R39" s="25">
        <f t="shared" ref="R39:R41" si="8">(Q39*3%)+Q39</f>
        <v>74591.054999999993</v>
      </c>
      <c r="W39" s="28">
        <f>IF(W4&gt;0, W4-(W$30*VALORI!$B$4)-(W$31*VALORI!$B$4)-(W$32*VALORI!$B$3)-(W$33*VALORI!$B$5),0)</f>
        <v>3235.4632999999994</v>
      </c>
      <c r="X39" s="28">
        <f>IF(X4&gt;0, X4-(X$30*VALORI!$B$4)-(X$31*VALORI!$B$4)-(X$32*VALORI!$B$3)-(X$33*VALORI!$B$5),0)</f>
        <v>11198.210999999999</v>
      </c>
      <c r="Y39" s="28">
        <f>IF(Y4&gt;0, Y4-(Y$30*VALORI!$B$4)-(Y$31*VALORI!$B$4)-(Y$32*VALORI!$B$3)-(Y$33*VALORI!$B$5),0)</f>
        <v>7008</v>
      </c>
      <c r="Z39" s="28">
        <f>IF(Z4&gt;0, Z4-(Z$30*VALORI!$B$4)-(Z$31*VALORI!$B$4)-(Z$32*VALORI!$B$3)-(Z$33*VALORI!$B$5),0)</f>
        <v>12208</v>
      </c>
      <c r="AA39" s="28">
        <f>IF(AA4&gt;0, AA4-(AA$30*VALORI!$B$4)-(AA$31*VALORI!$B$4)-(AA$32*VALORI!$B$3)-(AA$33*VALORI!$B$5),0)</f>
        <v>2924</v>
      </c>
      <c r="AB39" s="28">
        <f>IF(AB4&gt;0, AB4-(AB$30*VALORI!$B$4)-(AB$31*VALORI!$B$4)-(AB$32*VALORI!$B$3)-(AB$33*VALORI!$B$5),0)</f>
        <v>5397</v>
      </c>
      <c r="AC39" s="28">
        <f>IF(AC4&gt;0, AC4-(AC$30*VALORI!$B$4)-(AC$31*VALORI!$B$4)-(AC$32*VALORI!$B$3)-(AC$33*VALORI!$B$5),0)</f>
        <v>506</v>
      </c>
      <c r="AD39" s="28">
        <f>IF(AD4&gt;0, AD4-(AD$30*VALORI!$B$4)-(AD$31*VALORI!$B$4)-(AD$32*VALORI!$B$3)-(AD$33*VALORI!$B$5),0)</f>
        <v>5646</v>
      </c>
      <c r="AE39" s="28">
        <f>IF(AE4&gt;0, AE4-(AE$30*VALORI!$B$4)-(AE$31*VALORI!$B$4)-(AE$32*VALORI!$B$3)-(AE$33*VALORI!$B$5),0)</f>
        <v>932</v>
      </c>
      <c r="AF39" s="28">
        <f>IF(AF4&gt;0, AF4-(AF$30*VALORI!$B$4)-(AF$31*VALORI!$B$4)-(AF$32*VALORI!$B$3)-(AF$33*VALORI!$B$5),0)</f>
        <v>1677</v>
      </c>
      <c r="AG39" s="28">
        <f>IF(AG4&gt;0, AG4-(AG$30*VALORI!$B$4)-(AG$31*VALORI!$B$4)-(AG$32*VALORI!$B$3)-(AG$33*VALORI!$B$5),0)</f>
        <v>-23</v>
      </c>
      <c r="AH39" s="28">
        <f>IF(AH4&gt;0, AH4-(AH$30*VALORI!$B$4)-(AH$31*VALORI!$B$4)-(AH$32*VALORI!$B$3)-(AH$33*VALORI!$B$5),0)</f>
        <v>0</v>
      </c>
      <c r="AI39" s="28">
        <f>IF(AI4&gt;0, AI4-(AI$30*VALORI!$B$4)-(AI$31*VALORI!$B$4)-(AI$32*VALORI!$B$3)-(AI$33*VALORI!$B$5),0)</f>
        <v>0</v>
      </c>
      <c r="AJ39" s="28">
        <f>IF(AJ4&gt;0, AJ4-(AJ$30*VALORI!$B$4)-(AJ$31*VALORI!$B$4)-(AJ$32*VALORI!$B$3)-(AJ$33*VALORI!$B$5),0)</f>
        <v>0</v>
      </c>
      <c r="AK39" s="28" t="e">
        <f>IF(AK4&gt;0, AK4-(AK$30*VALORI!$B$4)-(AK$31*VALORI!$B$4)-(AK$32*VALORI!$B$3)-(AK$33*VALORI!$B$5),0)</f>
        <v>#VALUE!</v>
      </c>
      <c r="AL39" s="28">
        <f>IF(AL4&gt;0, AL4-(AL$30*VALORI!$B$4)-(AL$31*VALORI!$B$4)-(AL$32*VALORI!$B$3)-(AL$33*VALORI!$B$5),0)</f>
        <v>7358</v>
      </c>
      <c r="AM39" s="28">
        <f>IF(AM4&gt;0, AM4-(AM$30*VALORI!$B$4)-(AM$31*VALORI!$B$4)-(AM$32*VALORI!$B$3)-(AM$33*VALORI!$B$5),0)</f>
        <v>4800</v>
      </c>
      <c r="AN39" s="28">
        <f>IF(AN4&gt;0, AN4-(AN$30*VALORI!$B$4)-(AN$31*VALORI!$B$4)-(AN$32*VALORI!$B$3)-(AN$33*VALORI!$B$5),0)</f>
        <v>1100</v>
      </c>
      <c r="AO39" s="28">
        <f>IF(AO4&gt;0, AO4-(AO$30*VALORI!$B$4)-(AO$31*VALORI!$B$4)-(AO$32*VALORI!$B$3)-(AO$33*VALORI!$B$5),0)</f>
        <v>400</v>
      </c>
      <c r="AQ39" s="28">
        <f>IF(AQ4&gt;0, AQ4-(AQ$30*VALORI!$B$4)-(AQ$31*VALORI!$B$4)-(AQ$32*VALORI!$B$3)-(AQ$33*VALORI!$B$5),0)</f>
        <v>0</v>
      </c>
      <c r="AR39" s="28">
        <f>IF(AR4&gt;0, AR4-(AR$30*VALORI!$B$4)-(AR$31*VALORI!$B$4)-(AR$32*VALORI!$B$3)-(AR$33*VALORI!$B$5),0)</f>
        <v>36650</v>
      </c>
      <c r="AS39" s="28">
        <f>IF(AS4&gt;0, AS4-(AS$30*VALORI!$B$4)-(AS$31*VALORI!$B$4)-(AS$32*VALORI!$B$3)-(AS$33*VALORI!$B$5),0)</f>
        <v>29290</v>
      </c>
      <c r="AT39" s="28">
        <f>IF(AT4&gt;0, AT4-(AT$30*VALORI!$B$4)-(AT$31*VALORI!$B$4)-(AT$32*VALORI!$B$3)-(AT$33*VALORI!$B$5),0)</f>
        <v>0</v>
      </c>
    </row>
    <row r="40" spans="15:46" ht="15.75" x14ac:dyDescent="0.25">
      <c r="O40" s="25">
        <v>70350</v>
      </c>
      <c r="P40" s="25">
        <f t="shared" si="6"/>
        <v>77385</v>
      </c>
      <c r="Q40" s="25">
        <f t="shared" si="7"/>
        <v>85123.5</v>
      </c>
      <c r="R40" s="25">
        <f t="shared" si="8"/>
        <v>87677.205000000002</v>
      </c>
      <c r="W40" s="28">
        <f>IF(W5&gt;0, W5-(W$30*VALORI!$B$4)-(W$31*VALORI!$B$4)-(W$32*VALORI!$B$3)-(W$33*VALORI!$B$5),0)</f>
        <v>4020.6323000000002</v>
      </c>
      <c r="X40" s="28">
        <f>IF(X5&gt;0, X5-(X$30*VALORI!$B$4)-(X$31*VALORI!$B$4)-(X$32*VALORI!$B$3)-(X$33*VALORI!$B$5),0)</f>
        <v>13815.441000000003</v>
      </c>
      <c r="Y40" s="28">
        <f>IF(Y5&gt;0, Y5-(Y$30*VALORI!$B$4)-(Y$31*VALORI!$B$4)-(Y$32*VALORI!$B$3)-(Y$33*VALORI!$B$5),0)</f>
        <v>9008</v>
      </c>
      <c r="Z40" s="28">
        <f>IF(Z5&gt;0, Z5-(Z$30*VALORI!$B$4)-(Z$31*VALORI!$B$4)-(Z$32*VALORI!$B$3)-(Z$33*VALORI!$B$5),0)</f>
        <v>15508</v>
      </c>
      <c r="AA40" s="28">
        <f>IF(AA5&gt;0, AA5-(AA$30*VALORI!$B$4)-(AA$31*VALORI!$B$4)-(AA$32*VALORI!$B$3)-(AA$33*VALORI!$B$5),0)</f>
        <v>2924</v>
      </c>
      <c r="AB40" s="28">
        <f>IF(AB5&gt;0, AB5-(AB$30*VALORI!$B$4)-(AB$31*VALORI!$B$4)-(AB$32*VALORI!$B$3)-(AB$33*VALORI!$B$5),0)</f>
        <v>5397</v>
      </c>
      <c r="AC40" s="28">
        <f>IF(AC5&gt;0, AC5-(AC$30*VALORI!$B$4)-(AC$31*VALORI!$B$4)-(AC$32*VALORI!$B$3)-(AC$33*VALORI!$B$5),0)</f>
        <v>506</v>
      </c>
      <c r="AD40" s="28">
        <f>IF(AD5&gt;0, AD5-(AD$30*VALORI!$B$4)-(AD$31*VALORI!$B$4)-(AD$32*VALORI!$B$3)-(AD$33*VALORI!$B$5),0)</f>
        <v>5646</v>
      </c>
      <c r="AE40" s="28">
        <f>IF(AE5&gt;0, AE5-(AE$30*VALORI!$B$4)-(AE$31*VALORI!$B$4)-(AE$32*VALORI!$B$3)-(AE$33*VALORI!$B$5),0)</f>
        <v>932</v>
      </c>
      <c r="AF40" s="28">
        <f>IF(AF5&gt;0, AF5-(AF$30*VALORI!$B$4)-(AF$31*VALORI!$B$4)-(AF$32*VALORI!$B$3)-(AF$33*VALORI!$B$5),0)</f>
        <v>1677</v>
      </c>
      <c r="AG40" s="28">
        <f>IF(AG5&gt;0, AG5-(AG$30*VALORI!$B$4)-(AG$31*VALORI!$B$4)-(AG$32*VALORI!$B$3)-(AG$33*VALORI!$B$5),0)</f>
        <v>-23</v>
      </c>
      <c r="AH40" s="28">
        <f>IF(AH5&gt;0, AH5-(AH$30*VALORI!$B$4)-(AH$31*VALORI!$B$4)-(AH$32*VALORI!$B$3)-(AH$33*VALORI!$B$5),0)</f>
        <v>0</v>
      </c>
      <c r="AI40" s="28">
        <f>IF(AI5&gt;0, AI5-(AI$30*VALORI!$B$4)-(AI$31*VALORI!$B$4)-(AI$32*VALORI!$B$3)-(AI$33*VALORI!$B$5),0)</f>
        <v>0</v>
      </c>
      <c r="AJ40" s="28">
        <f>IF(AJ5&gt;0, AJ5-(AJ$30*VALORI!$B$4)-(AJ$31*VALORI!$B$4)-(AJ$32*VALORI!$B$3)-(AJ$33*VALORI!$B$5),0)</f>
        <v>0</v>
      </c>
      <c r="AK40" s="28" t="e">
        <f>IF(AK5&gt;0, AK5-(AK$30*VALORI!$B$4)-(AK$31*VALORI!$B$4)-(AK$32*VALORI!$B$3)-(AK$33*VALORI!$B$5),0)</f>
        <v>#VALUE!</v>
      </c>
      <c r="AL40" s="28">
        <f>IF(AL5&gt;0, AL5-(AL$30*VALORI!$B$4)-(AL$31*VALORI!$B$4)-(AL$32*VALORI!$B$3)-(AL$33*VALORI!$B$5),0)</f>
        <v>7358</v>
      </c>
      <c r="AM40" s="28">
        <f>IF(AM5&gt;0, AM5-(AM$30*VALORI!$B$4)-(AM$31*VALORI!$B$4)-(AM$32*VALORI!$B$3)-(AM$33*VALORI!$B$5),0)</f>
        <v>4800</v>
      </c>
      <c r="AN40" s="28">
        <f>IF(AN5&gt;0, AN5-(AN$30*VALORI!$B$4)-(AN$31*VALORI!$B$4)-(AN$32*VALORI!$B$3)-(AN$33*VALORI!$B$5),0)</f>
        <v>1100</v>
      </c>
      <c r="AO40" s="28">
        <f>IF(AO5&gt;0, AO5-(AO$30*VALORI!$B$4)-(AO$31*VALORI!$B$4)-(AO$32*VALORI!$B$3)-(AO$33*VALORI!$B$5),0)</f>
        <v>400</v>
      </c>
      <c r="AQ40" s="28">
        <f>IF(AQ5&gt;0, AQ5-(AQ$30*VALORI!$B$4)-(AQ$31*VALORI!$B$4)-(AQ$32*VALORI!$B$3)-(AQ$33*VALORI!$B$5),0)</f>
        <v>0</v>
      </c>
      <c r="AR40" s="28">
        <f>IF(AR5&gt;0, AR5-(AR$30*VALORI!$B$4)-(AR$31*VALORI!$B$4)-(AR$32*VALORI!$B$3)-(AR$33*VALORI!$B$5),0)</f>
        <v>36650</v>
      </c>
      <c r="AS40" s="28">
        <f>IF(AS5&gt;0, AS5-(AS$30*VALORI!$B$4)-(AS$31*VALORI!$B$4)-(AS$32*VALORI!$B$3)-(AS$33*VALORI!$B$5),0)</f>
        <v>29290</v>
      </c>
      <c r="AT40" s="28">
        <f>IF(AT5&gt;0, AT5-(AT$30*VALORI!$B$4)-(AT$31*VALORI!$B$4)-(AT$32*VALORI!$B$3)-(AT$33*VALORI!$B$5),0)</f>
        <v>0</v>
      </c>
    </row>
    <row r="41" spans="15:46" ht="15.75" x14ac:dyDescent="0.25">
      <c r="O41" s="25">
        <v>76650</v>
      </c>
      <c r="P41" s="25">
        <f t="shared" si="6"/>
        <v>84315</v>
      </c>
      <c r="Q41" s="25">
        <f t="shared" si="7"/>
        <v>92746.500000000015</v>
      </c>
      <c r="R41" s="25">
        <f t="shared" si="8"/>
        <v>95528.895000000019</v>
      </c>
      <c r="W41" s="28">
        <f>IF(W6&gt;0, W6-(W$30*VALORI!$B$4)-(W$31*VALORI!$B$4)-(W$32*VALORI!$B$3)-(W$33*VALORI!$B$5),0)</f>
        <v>4491.7337000000007</v>
      </c>
      <c r="X41" s="28">
        <f>IF(X6&gt;0, X6-(X$30*VALORI!$B$4)-(X$31*VALORI!$B$4)-(X$32*VALORI!$B$3)-(X$33*VALORI!$B$5),0)</f>
        <v>15385.779000000006</v>
      </c>
      <c r="Y41" s="28">
        <f>IF(Y6&gt;0, Y6-(Y$30*VALORI!$B$4)-(Y$31*VALORI!$B$4)-(Y$32*VALORI!$B$3)-(Y$33*VALORI!$B$5),0)</f>
        <v>11008</v>
      </c>
      <c r="Z41" s="28">
        <f>IF(Z6&gt;0, Z6-(Z$30*VALORI!$B$4)-(Z$31*VALORI!$B$4)-(Z$32*VALORI!$B$3)-(Z$33*VALORI!$B$5),0)</f>
        <v>18808</v>
      </c>
      <c r="AA41" s="28">
        <f>IF(AA6&gt;0, AA6-(AA$30*VALORI!$B$4)-(AA$31*VALORI!$B$4)-(AA$32*VALORI!$B$3)-(AA$33*VALORI!$B$5),0)</f>
        <v>2924</v>
      </c>
      <c r="AB41" s="28">
        <f>IF(AB6&gt;0, AB6-(AB$30*VALORI!$B$4)-(AB$31*VALORI!$B$4)-(AB$32*VALORI!$B$3)-(AB$33*VALORI!$B$5),0)</f>
        <v>5397</v>
      </c>
      <c r="AC41" s="28">
        <f>IF(AC6&gt;0, AC6-(AC$30*VALORI!$B$4)-(AC$31*VALORI!$B$4)-(AC$32*VALORI!$B$3)-(AC$33*VALORI!$B$5),0)</f>
        <v>506</v>
      </c>
      <c r="AD41" s="28">
        <f>IF(AD6&gt;0, AD6-(AD$30*VALORI!$B$4)-(AD$31*VALORI!$B$4)-(AD$32*VALORI!$B$3)-(AD$33*VALORI!$B$5),0)</f>
        <v>5646</v>
      </c>
      <c r="AE41" s="28">
        <f>IF(AE6&gt;0, AE6-(AE$30*VALORI!$B$4)-(AE$31*VALORI!$B$4)-(AE$32*VALORI!$B$3)-(AE$33*VALORI!$B$5),0)</f>
        <v>932</v>
      </c>
      <c r="AF41" s="28">
        <f>IF(AF6&gt;0, AF6-(AF$30*VALORI!$B$4)-(AF$31*VALORI!$B$4)-(AF$32*VALORI!$B$3)-(AF$33*VALORI!$B$5),0)</f>
        <v>1677</v>
      </c>
      <c r="AG41" s="28">
        <f>IF(AG6&gt;0, AG6-(AG$30*VALORI!$B$4)-(AG$31*VALORI!$B$4)-(AG$32*VALORI!$B$3)-(AG$33*VALORI!$B$5),0)</f>
        <v>-23</v>
      </c>
      <c r="AH41" s="28">
        <f>IF(AH6&gt;0, AH6-(AH$30*VALORI!$B$4)-(AH$31*VALORI!$B$4)-(AH$32*VALORI!$B$3)-(AH$33*VALORI!$B$5),0)</f>
        <v>0</v>
      </c>
      <c r="AI41" s="28">
        <f>IF(AI6&gt;0, AI6-(AI$30*VALORI!$B$4)-(AI$31*VALORI!$B$4)-(AI$32*VALORI!$B$3)-(AI$33*VALORI!$B$5),0)</f>
        <v>0</v>
      </c>
      <c r="AJ41" s="28">
        <f>IF(AJ6&gt;0, AJ6-(AJ$30*VALORI!$B$4)-(AJ$31*VALORI!$B$4)-(AJ$32*VALORI!$B$3)-(AJ$33*VALORI!$B$5),0)</f>
        <v>0</v>
      </c>
      <c r="AK41" s="28" t="e">
        <f>IF(AK6&gt;0, AK6-(AK$30*VALORI!$B$4)-(AK$31*VALORI!$B$4)-(AK$32*VALORI!$B$3)-(AK$33*VALORI!$B$5),0)</f>
        <v>#VALUE!</v>
      </c>
      <c r="AL41" s="28">
        <f>IF(AL6&gt;0, AL6-(AL$30*VALORI!$B$4)-(AL$31*VALORI!$B$4)-(AL$32*VALORI!$B$3)-(AL$33*VALORI!$B$5),0)</f>
        <v>7358</v>
      </c>
      <c r="AM41" s="28">
        <f>IF(AM6&gt;0, AM6-(AM$30*VALORI!$B$4)-(AM$31*VALORI!$B$4)-(AM$32*VALORI!$B$3)-(AM$33*VALORI!$B$5),0)</f>
        <v>4800</v>
      </c>
      <c r="AN41" s="28">
        <f>IF(AN6&gt;0, AN6-(AN$30*VALORI!$B$4)-(AN$31*VALORI!$B$4)-(AN$32*VALORI!$B$3)-(AN$33*VALORI!$B$5),0)</f>
        <v>1100</v>
      </c>
      <c r="AO41" s="28">
        <f>IF(AO6&gt;0, AO6-(AO$30*VALORI!$B$4)-(AO$31*VALORI!$B$4)-(AO$32*VALORI!$B$3)-(AO$33*VALORI!$B$5),0)</f>
        <v>400</v>
      </c>
      <c r="AQ41" s="28">
        <f>IF(AQ6&gt;0, AQ6-(AQ$30*VALORI!$B$4)-(AQ$31*VALORI!$B$4)-(AQ$32*VALORI!$B$3)-(AQ$33*VALORI!$B$5),0)</f>
        <v>0</v>
      </c>
      <c r="AR41" s="28">
        <f>IF(AR6&gt;0, AR6-(AR$30*VALORI!$B$4)-(AR$31*VALORI!$B$4)-(AR$32*VALORI!$B$3)-(AR$33*VALORI!$B$5),0)</f>
        <v>36650</v>
      </c>
      <c r="AS41" s="28">
        <f>IF(AS6&gt;0, AS6-(AS$30*VALORI!$B$4)-(AS$31*VALORI!$B$4)-(AS$32*VALORI!$B$3)-(AS$33*VALORI!$B$5),0)</f>
        <v>29290</v>
      </c>
      <c r="AT41" s="28">
        <f>IF(AT6&gt;0, AT6-(AT$30*VALORI!$B$4)-(AT$31*VALORI!$B$4)-(AT$32*VALORI!$B$3)-(AT$33*VALORI!$B$5),0)</f>
        <v>0</v>
      </c>
    </row>
    <row r="42" spans="15:46" ht="15.75" x14ac:dyDescent="0.25">
      <c r="W42" s="28">
        <f>IF(W7&gt;0, W7-(W$30*VALORI!$B$4)-(W$31*VALORI!$B$4)-(W$32*VALORI!$B$3)-(W$33*VALORI!$B$5),0)</f>
        <v>0</v>
      </c>
      <c r="X42" s="28">
        <f>IF(X7&gt;0, X7-(X$30*VALORI!$B$4)-(X$31*VALORI!$B$4)-(X$32*VALORI!$B$3)-(X$33*VALORI!$B$5),0)</f>
        <v>0</v>
      </c>
      <c r="Y42" s="28">
        <f>IF(Y7&gt;0, Y7-(Y$30*VALORI!$B$4)-(Y$31*VALORI!$B$4)-(Y$32*VALORI!$B$3)-(Y$33*VALORI!$B$5),0)</f>
        <v>0</v>
      </c>
      <c r="Z42" s="28">
        <f>IF(Z7&gt;0, Z7-(Z$30*VALORI!$B$4)-(Z$31*VALORI!$B$4)-(Z$32*VALORI!$B$3)-(Z$33*VALORI!$B$5),0)</f>
        <v>0</v>
      </c>
      <c r="AA42" s="28">
        <f>IF(AA7&gt;0, AA7-(AA$30*VALORI!$B$4)-(AA$31*VALORI!$B$4)-(AA$32*VALORI!$B$3)-(AA$33*VALORI!$B$5),0)</f>
        <v>0</v>
      </c>
      <c r="AB42" s="28">
        <f>IF(AB7&gt;0, AB7-(AB$30*VALORI!$B$4)-(AB$31*VALORI!$B$4)-(AB$32*VALORI!$B$3)-(AB$33*VALORI!$B$5),0)</f>
        <v>0</v>
      </c>
      <c r="AC42" s="28">
        <f>IF(AC7&gt;0, AC7-(AC$30*VALORI!$B$4)-(AC$31*VALORI!$B$4)-(AC$32*VALORI!$B$3)-(AC$33*VALORI!$B$5),0)</f>
        <v>0</v>
      </c>
      <c r="AD42" s="28">
        <f>IF(AD7&gt;0, AD7-(AD$30*VALORI!$B$4)-(AD$31*VALORI!$B$4)-(AD$32*VALORI!$B$3)-(AD$33*VALORI!$B$5),0)</f>
        <v>0</v>
      </c>
      <c r="AE42" s="28">
        <f>IF(AE7&gt;0, AE7-(AE$30*VALORI!$B$4)-(AE$31*VALORI!$B$4)-(AE$32*VALORI!$B$3)-(AE$33*VALORI!$B$5),0)</f>
        <v>0</v>
      </c>
      <c r="AF42" s="28">
        <f>IF(AF7&gt;0, AF7-(AF$30*VALORI!$B$4)-(AF$31*VALORI!$B$4)-(AF$32*VALORI!$B$3)-(AF$33*VALORI!$B$5),0)</f>
        <v>0</v>
      </c>
      <c r="AG42" s="28">
        <f>IF(AG7&gt;0, AG7-(AG$30*VALORI!$B$4)-(AG$31*VALORI!$B$4)-(AG$32*VALORI!$B$3)-(AG$33*VALORI!$B$5),0)</f>
        <v>0</v>
      </c>
      <c r="AH42" s="28">
        <f>IF(AH7&gt;0, AH7-(AH$30*VALORI!$B$4)-(AH$31*VALORI!$B$4)-(AH$32*VALORI!$B$3)-(AH$33*VALORI!$B$5),0)</f>
        <v>0</v>
      </c>
      <c r="AI42" s="28">
        <f>IF(AI7&gt;0, AI7-(AI$30*VALORI!$B$4)-(AI$31*VALORI!$B$4)-(AI$32*VALORI!$B$3)-(AI$33*VALORI!$B$5),0)</f>
        <v>0</v>
      </c>
      <c r="AJ42" s="28">
        <f>IF(AJ7&gt;0, AJ7-(AJ$30*VALORI!$B$4)-(AJ$31*VALORI!$B$4)-(AJ$32*VALORI!$B$3)-(AJ$33*VALORI!$B$5),0)</f>
        <v>0</v>
      </c>
      <c r="AK42" s="28">
        <f>IF(AK7&gt;0, AK7-(AK$30*VALORI!$B$4)-(AK$31*VALORI!$B$4)-(AK$32*VALORI!$B$3)-(AK$33*VALORI!$B$5),0)</f>
        <v>0</v>
      </c>
      <c r="AL42" s="28">
        <f>IF(AL7&gt;0, AL7-(AL$30*VALORI!$B$4)-(AL$31*VALORI!$B$4)-(AL$32*VALORI!$B$3)-(AL$33*VALORI!$B$5),0)</f>
        <v>0</v>
      </c>
      <c r="AM42" s="28">
        <f>IF(AM7&gt;0, AM7-(AM$30*VALORI!$B$4)-(AM$31*VALORI!$B$4)-(AM$32*VALORI!$B$3)-(AM$33*VALORI!$B$5),0)</f>
        <v>0</v>
      </c>
      <c r="AN42" s="28">
        <f>IF(AN7&gt;0, AN7-(AN$30*VALORI!$B$4)-(AN$31*VALORI!$B$4)-(AN$32*VALORI!$B$3)-(AN$33*VALORI!$B$5),0)</f>
        <v>0</v>
      </c>
      <c r="AO42" s="28">
        <f>IF(AO7&gt;0, AO7-(AO$30*VALORI!$B$4)-(AO$31*VALORI!$B$4)-(AO$32*VALORI!$B$3)-(AO$33*VALORI!$B$5),0)</f>
        <v>0</v>
      </c>
      <c r="AQ42" s="28">
        <f>IF(AQ7&gt;0, AQ7-(AQ$30*VALORI!$B$4)-(AQ$31*VALORI!$B$4)-(AQ$32*VALORI!$B$3)-(AQ$33*VALORI!$B$5),0)</f>
        <v>0</v>
      </c>
      <c r="AR42" s="28">
        <f>IF(AR7&gt;0, AR7-(AR$30*VALORI!$B$4)-(AR$31*VALORI!$B$4)-(AR$32*VALORI!$B$3)-(AR$33*VALORI!$B$5),0)</f>
        <v>0</v>
      </c>
      <c r="AS42" s="28">
        <f>IF(AS7&gt;0, AS7-(AS$30*VALORI!$B$4)-(AS$31*VALORI!$B$4)-(AS$32*VALORI!$B$3)-(AS$33*VALORI!$B$5),0)</f>
        <v>0</v>
      </c>
      <c r="AT42" s="28">
        <f>IF(AT7&gt;0, AT7-(AT$30*VALORI!$B$4)-(AT$31*VALORI!$B$4)-(AT$32*VALORI!$B$3)-(AT$33*VALORI!$B$5),0)</f>
        <v>0</v>
      </c>
    </row>
    <row r="43" spans="15:46" ht="15.75" x14ac:dyDescent="0.25">
      <c r="W43" s="28">
        <f>IF(W8&gt;0, W8-(W$30*VALORI!$B$4)-(W$31*VALORI!$B$4)-(W$32*VALORI!$B$3)-(W$33*VALORI!$B$5),0)</f>
        <v>0</v>
      </c>
      <c r="X43" s="28">
        <f>IF(X8&gt;0, X8-(X$30*VALORI!$B$4)-(X$31*VALORI!$B$4)-(X$32*VALORI!$B$3)-(X$33*VALORI!$B$5),0)</f>
        <v>0</v>
      </c>
      <c r="Y43" s="28">
        <f>IF(Y8&gt;0, Y8-(Y$30*VALORI!$B$4)-(Y$31*VALORI!$B$4)-(Y$32*VALORI!$B$3)-(Y$33*VALORI!$B$5),0)</f>
        <v>0</v>
      </c>
      <c r="Z43" s="28">
        <f>IF(Z8&gt;0, Z8-(Z$30*VALORI!$B$4)-(Z$31*VALORI!$B$4)-(Z$32*VALORI!$B$3)-(Z$33*VALORI!$B$5),0)</f>
        <v>0</v>
      </c>
      <c r="AA43" s="28">
        <f>IF(AA8&gt;0, AA8-(AA$30*VALORI!$B$4)-(AA$31*VALORI!$B$4)-(AA$32*VALORI!$B$3)-(AA$33*VALORI!$B$5),0)</f>
        <v>0</v>
      </c>
      <c r="AB43" s="28">
        <f>IF(AB8&gt;0, AB8-(AB$30*VALORI!$B$4)-(AB$31*VALORI!$B$4)-(AB$32*VALORI!$B$3)-(AB$33*VALORI!$B$5),0)</f>
        <v>0</v>
      </c>
      <c r="AC43" s="28">
        <f>IF(AC8&gt;0, AC8-(AC$30*VALORI!$B$4)-(AC$31*VALORI!$B$4)-(AC$32*VALORI!$B$3)-(AC$33*VALORI!$B$5),0)</f>
        <v>0</v>
      </c>
      <c r="AD43" s="28">
        <f>IF(AD8&gt;0, AD8-(AD$30*VALORI!$B$4)-(AD$31*VALORI!$B$4)-(AD$32*VALORI!$B$3)-(AD$33*VALORI!$B$5),0)</f>
        <v>0</v>
      </c>
      <c r="AE43" s="28">
        <f>IF(AE8&gt;0, AE8-(AE$30*VALORI!$B$4)-(AE$31*VALORI!$B$4)-(AE$32*VALORI!$B$3)-(AE$33*VALORI!$B$5),0)</f>
        <v>0</v>
      </c>
      <c r="AF43" s="28">
        <f>IF(AF8&gt;0, AF8-(AF$30*VALORI!$B$4)-(AF$31*VALORI!$B$4)-(AF$32*VALORI!$B$3)-(AF$33*VALORI!$B$5),0)</f>
        <v>0</v>
      </c>
      <c r="AG43" s="28">
        <f>IF(AG8&gt;0, AG8-(AG$30*VALORI!$B$4)-(AG$31*VALORI!$B$4)-(AG$32*VALORI!$B$3)-(AG$33*VALORI!$B$5),0)</f>
        <v>0</v>
      </c>
      <c r="AH43" s="28">
        <f>IF(AH8&gt;0, AH8-(AH$30*VALORI!$B$4)-(AH$31*VALORI!$B$4)-(AH$32*VALORI!$B$3)-(AH$33*VALORI!$B$5),0)</f>
        <v>0</v>
      </c>
      <c r="AI43" s="28">
        <f>IF(AI8&gt;0, AI8-(AI$30*VALORI!$B$4)-(AI$31*VALORI!$B$4)-(AI$32*VALORI!$B$3)-(AI$33*VALORI!$B$5),0)</f>
        <v>0</v>
      </c>
      <c r="AJ43" s="28">
        <f>IF(AJ8&gt;0, AJ8-(AJ$30*VALORI!$B$4)-(AJ$31*VALORI!$B$4)-(AJ$32*VALORI!$B$3)-(AJ$33*VALORI!$B$5),0)</f>
        <v>0</v>
      </c>
      <c r="AK43" s="28">
        <f>IF(AK8&gt;0, AK8-(AK$30*VALORI!$B$4)-(AK$31*VALORI!$B$4)-(AK$32*VALORI!$B$3)-(AK$33*VALORI!$B$5),0)</f>
        <v>0</v>
      </c>
      <c r="AL43" s="28">
        <f>IF(AL8&gt;0, AL8-(AL$30*VALORI!$B$4)-(AL$31*VALORI!$B$4)-(AL$32*VALORI!$B$3)-(AL$33*VALORI!$B$5),0)</f>
        <v>0</v>
      </c>
      <c r="AM43" s="28">
        <f>IF(AM8&gt;0, AM8-(AM$30*VALORI!$B$4)-(AM$31*VALORI!$B$4)-(AM$32*VALORI!$B$3)-(AM$33*VALORI!$B$5),0)</f>
        <v>0</v>
      </c>
      <c r="AN43" s="28">
        <f>IF(AN8&gt;0, AN8-(AN$30*VALORI!$B$4)-(AN$31*VALORI!$B$4)-(AN$32*VALORI!$B$3)-(AN$33*VALORI!$B$5),0)</f>
        <v>0</v>
      </c>
      <c r="AO43" s="28">
        <f>IF(AO8&gt;0, AO8-(AO$30*VALORI!$B$4)-(AO$31*VALORI!$B$4)-(AO$32*VALORI!$B$3)-(AO$33*VALORI!$B$5),0)</f>
        <v>0</v>
      </c>
      <c r="AQ43" s="28">
        <f>IF(AQ8&gt;0, AQ8-(AQ$30*VALORI!$B$4)-(AQ$31*VALORI!$B$4)-(AQ$32*VALORI!$B$3)-(AQ$33*VALORI!$B$5),0)</f>
        <v>0</v>
      </c>
      <c r="AR43" s="28">
        <f>IF(AR8&gt;0, AR8-(AR$30*VALORI!$B$4)-(AR$31*VALORI!$B$4)-(AR$32*VALORI!$B$3)-(AR$33*VALORI!$B$5),0)</f>
        <v>0</v>
      </c>
      <c r="AS43" s="28">
        <f>IF(AS8&gt;0, AS8-(AS$30*VALORI!$B$4)-(AS$31*VALORI!$B$4)-(AS$32*VALORI!$B$3)-(AS$33*VALORI!$B$5),0)</f>
        <v>0</v>
      </c>
      <c r="AT43" s="28">
        <f>IF(AT8&gt;0, AT8-(AT$30*VALORI!$B$4)-(AT$31*VALORI!$B$4)-(AT$32*VALORI!$B$3)-(AT$33*VALORI!$B$5),0)</f>
        <v>0</v>
      </c>
    </row>
    <row r="44" spans="15:46" ht="15.75" x14ac:dyDescent="0.25">
      <c r="W44" s="28">
        <f>IF(W9&gt;0, W9-(W$30*VALORI!$B$4)-(W$31*VALORI!$B$4)-(W$32*VALORI!$B$3)-(W$33*VALORI!$B$5),0)</f>
        <v>0</v>
      </c>
      <c r="X44" s="28">
        <f>IF(X9&gt;0, X9-(X$30*VALORI!$B$4)-(X$31*VALORI!$B$4)-(X$32*VALORI!$B$3)-(X$33*VALORI!$B$5),0)</f>
        <v>0</v>
      </c>
      <c r="Y44" s="28">
        <f>IF(Y9&gt;0, Y9-(Y$30*VALORI!$B$4)-(Y$31*VALORI!$B$4)-(Y$32*VALORI!$B$3)-(Y$33*VALORI!$B$5),0)</f>
        <v>0</v>
      </c>
      <c r="Z44" s="28">
        <f>IF(Z9&gt;0, Z9-(Z$30*VALORI!$B$4)-(Z$31*VALORI!$B$4)-(Z$32*VALORI!$B$3)-(Z$33*VALORI!$B$5),0)</f>
        <v>0</v>
      </c>
      <c r="AA44" s="28">
        <f>IF(AA9&gt;0, AA9-(AA$30*VALORI!$B$4)-(AA$31*VALORI!$B$4)-(AA$32*VALORI!$B$3)-(AA$33*VALORI!$B$5),0)</f>
        <v>0</v>
      </c>
      <c r="AB44" s="28">
        <f>IF(AB9&gt;0, AB9-(AB$30*VALORI!$B$4)-(AB$31*VALORI!$B$4)-(AB$32*VALORI!$B$3)-(AB$33*VALORI!$B$5),0)</f>
        <v>0</v>
      </c>
      <c r="AC44" s="28">
        <f>IF(AC9&gt;0, AC9-(AC$30*VALORI!$B$4)-(AC$31*VALORI!$B$4)-(AC$32*VALORI!$B$3)-(AC$33*VALORI!$B$5),0)</f>
        <v>0</v>
      </c>
      <c r="AD44" s="28">
        <f>IF(AD9&gt;0, AD9-(AD$30*VALORI!$B$4)-(AD$31*VALORI!$B$4)-(AD$32*VALORI!$B$3)-(AD$33*VALORI!$B$5),0)</f>
        <v>0</v>
      </c>
      <c r="AE44" s="28">
        <f>IF(AE9&gt;0, AE9-(AE$30*VALORI!$B$4)-(AE$31*VALORI!$B$4)-(AE$32*VALORI!$B$3)-(AE$33*VALORI!$B$5),0)</f>
        <v>0</v>
      </c>
      <c r="AF44" s="28">
        <f>IF(AF9&gt;0, AF9-(AF$30*VALORI!$B$4)-(AF$31*VALORI!$B$4)-(AF$32*VALORI!$B$3)-(AF$33*VALORI!$B$5),0)</f>
        <v>0</v>
      </c>
      <c r="AG44" s="28">
        <f>IF(AG9&gt;0, AG9-(AG$30*VALORI!$B$4)-(AG$31*VALORI!$B$4)-(AG$32*VALORI!$B$3)-(AG$33*VALORI!$B$5),0)</f>
        <v>0</v>
      </c>
      <c r="AH44" s="28">
        <f>IF(AH9&gt;0, AH9-(AH$30*VALORI!$B$4)-(AH$31*VALORI!$B$4)-(AH$32*VALORI!$B$3)-(AH$33*VALORI!$B$5),0)</f>
        <v>0</v>
      </c>
      <c r="AI44" s="28">
        <f>IF(AI9&gt;0, AI9-(AI$30*VALORI!$B$4)-(AI$31*VALORI!$B$4)-(AI$32*VALORI!$B$3)-(AI$33*VALORI!$B$5),0)</f>
        <v>0</v>
      </c>
      <c r="AJ44" s="28">
        <f>IF(AJ9&gt;0, AJ9-(AJ$30*VALORI!$B$4)-(AJ$31*VALORI!$B$4)-(AJ$32*VALORI!$B$3)-(AJ$33*VALORI!$B$5),0)</f>
        <v>0</v>
      </c>
      <c r="AK44" s="28">
        <f>IF(AK9&gt;0, AK9-(AK$30*VALORI!$B$4)-(AK$31*VALORI!$B$4)-(AK$32*VALORI!$B$3)-(AK$33*VALORI!$B$5),0)</f>
        <v>0</v>
      </c>
      <c r="AL44" s="28">
        <f>IF(AL9&gt;0, AL9-(AL$30*VALORI!$B$4)-(AL$31*VALORI!$B$4)-(AL$32*VALORI!$B$3)-(AL$33*VALORI!$B$5),0)</f>
        <v>0</v>
      </c>
      <c r="AM44" s="28">
        <f>IF(AM9&gt;0, AM9-(AM$30*VALORI!$B$4)-(AM$31*VALORI!$B$4)-(AM$32*VALORI!$B$3)-(AM$33*VALORI!$B$5),0)</f>
        <v>0</v>
      </c>
      <c r="AN44" s="28">
        <f>IF(AN9&gt;0, AN9-(AN$30*VALORI!$B$4)-(AN$31*VALORI!$B$4)-(AN$32*VALORI!$B$3)-(AN$33*VALORI!$B$5),0)</f>
        <v>0</v>
      </c>
      <c r="AO44" s="28">
        <f>IF(AO9&gt;0, AO9-(AO$30*VALORI!$B$4)-(AO$31*VALORI!$B$4)-(AO$32*VALORI!$B$3)-(AO$33*VALORI!$B$5),0)</f>
        <v>0</v>
      </c>
      <c r="AQ44" s="28">
        <f>IF(AQ9&gt;0, AQ9-(AQ$30*VALORI!$B$4)-(AQ$31*VALORI!$B$4)-(AQ$32*VALORI!$B$3)-(AQ$33*VALORI!$B$5),0)</f>
        <v>0</v>
      </c>
      <c r="AR44" s="28">
        <f>IF(AR9&gt;0, AR9-(AR$30*VALORI!$B$4)-(AR$31*VALORI!$B$4)-(AR$32*VALORI!$B$3)-(AR$33*VALORI!$B$5),0)</f>
        <v>0</v>
      </c>
      <c r="AS44" s="28">
        <f>IF(AS9&gt;0, AS9-(AS$30*VALORI!$B$4)-(AS$31*VALORI!$B$4)-(AS$32*VALORI!$B$3)-(AS$33*VALORI!$B$5),0)</f>
        <v>0</v>
      </c>
      <c r="AT44" s="28">
        <f>IF(AT9&gt;0, AT9-(AT$30*VALORI!$B$4)-(AT$31*VALORI!$B$4)-(AT$32*VALORI!$B$3)-(AT$33*VALORI!$B$5),0)</f>
        <v>0</v>
      </c>
    </row>
    <row r="45" spans="15:46" ht="15.75" x14ac:dyDescent="0.25">
      <c r="W45" s="28">
        <f>IF(W10&gt;0, W10-(W$30*VALORI!$B$4)-(W$31*VALORI!$B$4)-(W$32*VALORI!$B$3)-(W$33*VALORI!$B$5),0)</f>
        <v>0</v>
      </c>
      <c r="X45" s="28">
        <f>IF(X10&gt;0, X10-(X$30*VALORI!$B$4)-(X$31*VALORI!$B$4)-(X$32*VALORI!$B$3)-(X$33*VALORI!$B$5),0)</f>
        <v>0</v>
      </c>
      <c r="Y45" s="28">
        <f>IF(Y10&gt;0, Y10-(Y$30*VALORI!$B$4)-(Y$31*VALORI!$B$4)-(Y$32*VALORI!$B$3)-(Y$33*VALORI!$B$5),0)</f>
        <v>0</v>
      </c>
      <c r="Z45" s="28">
        <f>IF(Z10&gt;0, Z10-(Z$30*VALORI!$B$4)-(Z$31*VALORI!$B$4)-(Z$32*VALORI!$B$3)-(Z$33*VALORI!$B$5),0)</f>
        <v>0</v>
      </c>
      <c r="AA45" s="28">
        <f>IF(AA10&gt;0, AA10-(AA$30*VALORI!$B$4)-(AA$31*VALORI!$B$4)-(AA$32*VALORI!$B$3)-(AA$33*VALORI!$B$5),0)</f>
        <v>0</v>
      </c>
      <c r="AB45" s="28">
        <f>IF(AB10&gt;0, AB10-(AB$30*VALORI!$B$4)-(AB$31*VALORI!$B$4)-(AB$32*VALORI!$B$3)-(AB$33*VALORI!$B$5),0)</f>
        <v>0</v>
      </c>
      <c r="AC45" s="28">
        <f>IF(AC10&gt;0, AC10-(AC$30*VALORI!$B$4)-(AC$31*VALORI!$B$4)-(AC$32*VALORI!$B$3)-(AC$33*VALORI!$B$5),0)</f>
        <v>0</v>
      </c>
      <c r="AD45" s="28">
        <f>IF(AD10&gt;0, AD10-(AD$30*VALORI!$B$4)-(AD$31*VALORI!$B$4)-(AD$32*VALORI!$B$3)-(AD$33*VALORI!$B$5),0)</f>
        <v>0</v>
      </c>
      <c r="AE45" s="28">
        <f>IF(AE10&gt;0, AE10-(AE$30*VALORI!$B$4)-(AE$31*VALORI!$B$4)-(AE$32*VALORI!$B$3)-(AE$33*VALORI!$B$5),0)</f>
        <v>0</v>
      </c>
      <c r="AF45" s="28">
        <f>IF(AF10&gt;0, AF10-(AF$30*VALORI!$B$4)-(AF$31*VALORI!$B$4)-(AF$32*VALORI!$B$3)-(AF$33*VALORI!$B$5),0)</f>
        <v>0</v>
      </c>
      <c r="AG45" s="28">
        <f>IF(AG10&gt;0, AG10-(AG$30*VALORI!$B$4)-(AG$31*VALORI!$B$4)-(AG$32*VALORI!$B$3)-(AG$33*VALORI!$B$5),0)</f>
        <v>0</v>
      </c>
      <c r="AH45" s="28">
        <f>IF(AH10&gt;0, AH10-(AH$30*VALORI!$B$4)-(AH$31*VALORI!$B$4)-(AH$32*VALORI!$B$3)-(AH$33*VALORI!$B$5),0)</f>
        <v>0</v>
      </c>
      <c r="AI45" s="28">
        <f>IF(AI10&gt;0, AI10-(AI$30*VALORI!$B$4)-(AI$31*VALORI!$B$4)-(AI$32*VALORI!$B$3)-(AI$33*VALORI!$B$5),0)</f>
        <v>0</v>
      </c>
      <c r="AJ45" s="28">
        <f>IF(AJ10&gt;0, AJ10-(AJ$30*VALORI!$B$4)-(AJ$31*VALORI!$B$4)-(AJ$32*VALORI!$B$3)-(AJ$33*VALORI!$B$5),0)</f>
        <v>0</v>
      </c>
      <c r="AK45" s="28">
        <f>IF(AK10&gt;0, AK10-(AK$30*VALORI!$B$4)-(AK$31*VALORI!$B$4)-(AK$32*VALORI!$B$3)-(AK$33*VALORI!$B$5),0)</f>
        <v>0</v>
      </c>
      <c r="AL45" s="28">
        <f>IF(AL10&gt;0, AL10-(AL$30*VALORI!$B$4)-(AL$31*VALORI!$B$4)-(AL$32*VALORI!$B$3)-(AL$33*VALORI!$B$5),0)</f>
        <v>0</v>
      </c>
      <c r="AM45" s="28">
        <f>IF(AM10&gt;0, AM10-(AM$30*VALORI!$B$4)-(AM$31*VALORI!$B$4)-(AM$32*VALORI!$B$3)-(AM$33*VALORI!$B$5),0)</f>
        <v>0</v>
      </c>
      <c r="AN45" s="28">
        <f>IF(AN10&gt;0, AN10-(AN$30*VALORI!$B$4)-(AN$31*VALORI!$B$4)-(AN$32*VALORI!$B$3)-(AN$33*VALORI!$B$5),0)</f>
        <v>0</v>
      </c>
      <c r="AO45" s="28">
        <f>IF(AO10&gt;0, AO10-(AO$30*VALORI!$B$4)-(AO$31*VALORI!$B$4)-(AO$32*VALORI!$B$3)-(AO$33*VALORI!$B$5),0)</f>
        <v>0</v>
      </c>
      <c r="AQ45" s="28">
        <f>IF(AQ10&gt;0, AQ10-(AQ$30*VALORI!$B$4)-(AQ$31*VALORI!$B$4)-(AQ$32*VALORI!$B$3)-(AQ$33*VALORI!$B$5),0)</f>
        <v>0</v>
      </c>
      <c r="AR45" s="28">
        <f>IF(AR10&gt;0, AR10-(AR$30*VALORI!$B$4)-(AR$31*VALORI!$B$4)-(AR$32*VALORI!$B$3)-(AR$33*VALORI!$B$5),0)</f>
        <v>0</v>
      </c>
      <c r="AS45" s="28">
        <f>IF(AS10&gt;0, AS10-(AS$30*VALORI!$B$4)-(AS$31*VALORI!$B$4)-(AS$32*VALORI!$B$3)-(AS$33*VALORI!$B$5),0)</f>
        <v>0</v>
      </c>
      <c r="AT45" s="28">
        <f>IF(AT10&gt;0, AT10-(AT$30*VALORI!$B$4)-(AT$31*VALORI!$B$4)-(AT$32*VALORI!$B$3)-(AT$33*VALORI!$B$5),0)</f>
        <v>0</v>
      </c>
    </row>
    <row r="46" spans="15:46" ht="15.75" x14ac:dyDescent="0.25">
      <c r="W46" s="28">
        <f>IF(W11&gt;0, W11-(W$30*VALORI!$B$4)-(W$31*VALORI!$B$4)-(W$32*VALORI!$B$3)-(W$33*VALORI!$B$5),0)</f>
        <v>0</v>
      </c>
      <c r="X46" s="28">
        <f>IF(X11&gt;0, X11-(X$30*VALORI!$B$4)-(X$31*VALORI!$B$4)-(X$32*VALORI!$B$3)-(X$33*VALORI!$B$5),0)</f>
        <v>0</v>
      </c>
      <c r="Y46" s="28">
        <f>IF(Y11&gt;0, Y11-(Y$30*VALORI!$B$4)-(Y$31*VALORI!$B$4)-(Y$32*VALORI!$B$3)-(Y$33*VALORI!$B$5),0)</f>
        <v>0</v>
      </c>
      <c r="Z46" s="28">
        <f>IF(Z11&gt;0, Z11-(Z$30*VALORI!$B$4)-(Z$31*VALORI!$B$4)-(Z$32*VALORI!$B$3)-(Z$33*VALORI!$B$5),0)</f>
        <v>0</v>
      </c>
      <c r="AA46" s="28">
        <f>IF(AA11&gt;0, AA11-(AA$30*VALORI!$B$4)-(AA$31*VALORI!$B$4)-(AA$32*VALORI!$B$3)-(AA$33*VALORI!$B$5),0)</f>
        <v>0</v>
      </c>
      <c r="AB46" s="28">
        <f>IF(AB11&gt;0, AB11-(AB$30*VALORI!$B$4)-(AB$31*VALORI!$B$4)-(AB$32*VALORI!$B$3)-(AB$33*VALORI!$B$5),0)</f>
        <v>0</v>
      </c>
      <c r="AC46" s="28">
        <f>IF(AC11&gt;0, AC11-(AC$30*VALORI!$B$4)-(AC$31*VALORI!$B$4)-(AC$32*VALORI!$B$3)-(AC$33*VALORI!$B$5),0)</f>
        <v>0</v>
      </c>
      <c r="AD46" s="28">
        <f>IF(AD11&gt;0, AD11-(AD$30*VALORI!$B$4)-(AD$31*VALORI!$B$4)-(AD$32*VALORI!$B$3)-(AD$33*VALORI!$B$5),0)</f>
        <v>0</v>
      </c>
      <c r="AE46" s="28">
        <f>IF(AE11&gt;0, AE11-(AE$30*VALORI!$B$4)-(AE$31*VALORI!$B$4)-(AE$32*VALORI!$B$3)-(AE$33*VALORI!$B$5),0)</f>
        <v>0</v>
      </c>
      <c r="AF46" s="28">
        <f>IF(AF11&gt;0, AF11-(AF$30*VALORI!$B$4)-(AF$31*VALORI!$B$4)-(AF$32*VALORI!$B$3)-(AF$33*VALORI!$B$5),0)</f>
        <v>0</v>
      </c>
      <c r="AG46" s="28">
        <f>IF(AG11&gt;0, AG11-(AG$30*VALORI!$B$4)-(AG$31*VALORI!$B$4)-(AG$32*VALORI!$B$3)-(AG$33*VALORI!$B$5),0)</f>
        <v>0</v>
      </c>
      <c r="AH46" s="28">
        <f>IF(AH11&gt;0, AH11-(AH$30*VALORI!$B$4)-(AH$31*VALORI!$B$4)-(AH$32*VALORI!$B$3)-(AH$33*VALORI!$B$5),0)</f>
        <v>0</v>
      </c>
      <c r="AI46" s="28">
        <f>IF(AI11&gt;0, AI11-(AI$30*VALORI!$B$4)-(AI$31*VALORI!$B$4)-(AI$32*VALORI!$B$3)-(AI$33*VALORI!$B$5),0)</f>
        <v>0</v>
      </c>
      <c r="AJ46" s="28">
        <f>IF(AJ11&gt;0, AJ11-(AJ$30*VALORI!$B$4)-(AJ$31*VALORI!$B$4)-(AJ$32*VALORI!$B$3)-(AJ$33*VALORI!$B$5),0)</f>
        <v>0</v>
      </c>
      <c r="AK46" s="28">
        <f>IF(AK11&gt;0, AK11-(AK$30*VALORI!$B$4)-(AK$31*VALORI!$B$4)-(AK$32*VALORI!$B$3)-(AK$33*VALORI!$B$5),0)</f>
        <v>0</v>
      </c>
      <c r="AL46" s="28">
        <f>IF(AL11&gt;0, AL11-(AL$30*VALORI!$B$4)-(AL$31*VALORI!$B$4)-(AL$32*VALORI!$B$3)-(AL$33*VALORI!$B$5),0)</f>
        <v>0</v>
      </c>
      <c r="AM46" s="28">
        <f>IF(AM11&gt;0, AM11-(AM$30*VALORI!$B$4)-(AM$31*VALORI!$B$4)-(AM$32*VALORI!$B$3)-(AM$33*VALORI!$B$5),0)</f>
        <v>0</v>
      </c>
      <c r="AN46" s="28">
        <f>IF(AN11&gt;0, AN11-(AN$30*VALORI!$B$4)-(AN$31*VALORI!$B$4)-(AN$32*VALORI!$B$3)-(AN$33*VALORI!$B$5),0)</f>
        <v>0</v>
      </c>
      <c r="AO46" s="28">
        <f>IF(AO11&gt;0, AO11-(AO$30*VALORI!$B$4)-(AO$31*VALORI!$B$4)-(AO$32*VALORI!$B$3)-(AO$33*VALORI!$B$5),0)</f>
        <v>0</v>
      </c>
      <c r="AQ46" s="28">
        <f>IF(AQ11&gt;0, AQ11-(AQ$30*VALORI!$B$4)-(AQ$31*VALORI!$B$4)-(AQ$32*VALORI!$B$3)-(AQ$33*VALORI!$B$5),0)</f>
        <v>0</v>
      </c>
      <c r="AR46" s="28">
        <f>IF(AR11&gt;0, AR11-(AR$30*VALORI!$B$4)-(AR$31*VALORI!$B$4)-(AR$32*VALORI!$B$3)-(AR$33*VALORI!$B$5),0)</f>
        <v>0</v>
      </c>
      <c r="AS46" s="28">
        <f>IF(AS11&gt;0, AS11-(AS$30*VALORI!$B$4)-(AS$31*VALORI!$B$4)-(AS$32*VALORI!$B$3)-(AS$33*VALORI!$B$5),0)</f>
        <v>0</v>
      </c>
      <c r="AT46" s="28">
        <f>IF(AT11&gt;0, AT11-(AT$30*VALORI!$B$4)-(AT$31*VALORI!$B$4)-(AT$32*VALORI!$B$3)-(AT$33*VALORI!$B$5),0)</f>
        <v>0</v>
      </c>
    </row>
    <row r="47" spans="15:46" ht="15.75" x14ac:dyDescent="0.25">
      <c r="W47" s="28">
        <f>IF(W12&gt;0, W12-(W$30*VALORI!$B$4)-(W$31*VALORI!$B$4)-(W$32*VALORI!$B$3)-(W$33*VALORI!$B$5),0)</f>
        <v>0</v>
      </c>
      <c r="X47" s="28">
        <f>IF(X12&gt;0, X12-(X$30*VALORI!$B$4)-(X$31*VALORI!$B$4)-(X$32*VALORI!$B$3)-(X$33*VALORI!$B$5),0)</f>
        <v>0</v>
      </c>
      <c r="Y47" s="28">
        <f>IF(Y12&gt;0, Y12-(Y$30*VALORI!$B$4)-(Y$31*VALORI!$B$4)-(Y$32*VALORI!$B$3)-(Y$33*VALORI!$B$5),0)</f>
        <v>0</v>
      </c>
      <c r="Z47" s="28">
        <f>IF(Z12&gt;0, Z12-(Z$30*VALORI!$B$4)-(Z$31*VALORI!$B$4)-(Z$32*VALORI!$B$3)-(Z$33*VALORI!$B$5),0)</f>
        <v>0</v>
      </c>
      <c r="AA47" s="28">
        <f>IF(AA12&gt;0, AA12-(AA$30*VALORI!$B$4)-(AA$31*VALORI!$B$4)-(AA$32*VALORI!$B$3)-(AA$33*VALORI!$B$5),0)</f>
        <v>0</v>
      </c>
      <c r="AB47" s="28">
        <f>IF(AB12&gt;0, AB12-(AB$30*VALORI!$B$4)-(AB$31*VALORI!$B$4)-(AB$32*VALORI!$B$3)-(AB$33*VALORI!$B$5),0)</f>
        <v>0</v>
      </c>
      <c r="AC47" s="28">
        <f>IF(AC12&gt;0, AC12-(AC$30*VALORI!$B$4)-(AC$31*VALORI!$B$4)-(AC$32*VALORI!$B$3)-(AC$33*VALORI!$B$5),0)</f>
        <v>0</v>
      </c>
      <c r="AD47" s="28">
        <f>IF(AD12&gt;0, AD12-(AD$30*VALORI!$B$4)-(AD$31*VALORI!$B$4)-(AD$32*VALORI!$B$3)-(AD$33*VALORI!$B$5),0)</f>
        <v>0</v>
      </c>
      <c r="AE47" s="28">
        <f>IF(AE12&gt;0, AE12-(AE$30*VALORI!$B$4)-(AE$31*VALORI!$B$4)-(AE$32*VALORI!$B$3)-(AE$33*VALORI!$B$5),0)</f>
        <v>0</v>
      </c>
      <c r="AF47" s="28">
        <f>IF(AF12&gt;0, AF12-(AF$30*VALORI!$B$4)-(AF$31*VALORI!$B$4)-(AF$32*VALORI!$B$3)-(AF$33*VALORI!$B$5),0)</f>
        <v>0</v>
      </c>
      <c r="AG47" s="28">
        <f>IF(AG12&gt;0, AG12-(AG$30*VALORI!$B$4)-(AG$31*VALORI!$B$4)-(AG$32*VALORI!$B$3)-(AG$33*VALORI!$B$5),0)</f>
        <v>0</v>
      </c>
      <c r="AH47" s="28">
        <f>IF(AH12&gt;0, AH12-(AH$30*VALORI!$B$4)-(AH$31*VALORI!$B$4)-(AH$32*VALORI!$B$3)-(AH$33*VALORI!$B$5),0)</f>
        <v>0</v>
      </c>
      <c r="AI47" s="28">
        <f>IF(AI12&gt;0, AI12-(AI$30*VALORI!$B$4)-(AI$31*VALORI!$B$4)-(AI$32*VALORI!$B$3)-(AI$33*VALORI!$B$5),0)</f>
        <v>0</v>
      </c>
      <c r="AJ47" s="28">
        <f>IF(AJ12&gt;0, AJ12-(AJ$30*VALORI!$B$4)-(AJ$31*VALORI!$B$4)-(AJ$32*VALORI!$B$3)-(AJ$33*VALORI!$B$5),0)</f>
        <v>0</v>
      </c>
      <c r="AK47" s="28">
        <f>IF(AK12&gt;0, AK12-(AK$30*VALORI!$B$4)-(AK$31*VALORI!$B$4)-(AK$32*VALORI!$B$3)-(AK$33*VALORI!$B$5),0)</f>
        <v>0</v>
      </c>
      <c r="AL47" s="28">
        <f>IF(AL12&gt;0, AL12-(AL$30*VALORI!$B$4)-(AL$31*VALORI!$B$4)-(AL$32*VALORI!$B$3)-(AL$33*VALORI!$B$5),0)</f>
        <v>0</v>
      </c>
      <c r="AM47" s="28">
        <f>IF(AM12&gt;0, AM12-(AM$30*VALORI!$B$4)-(AM$31*VALORI!$B$4)-(AM$32*VALORI!$B$3)-(AM$33*VALORI!$B$5),0)</f>
        <v>0</v>
      </c>
      <c r="AN47" s="28">
        <f>IF(AN12&gt;0, AN12-(AN$30*VALORI!$B$4)-(AN$31*VALORI!$B$4)-(AN$32*VALORI!$B$3)-(AN$33*VALORI!$B$5),0)</f>
        <v>0</v>
      </c>
      <c r="AO47" s="28">
        <f>IF(AO12&gt;0, AO12-(AO$30*VALORI!$B$4)-(AO$31*VALORI!$B$4)-(AO$32*VALORI!$B$3)-(AO$33*VALORI!$B$5),0)</f>
        <v>0</v>
      </c>
      <c r="AQ47" s="28">
        <f>IF(AQ12&gt;0, AQ12-(AQ$30*VALORI!$B$4)-(AQ$31*VALORI!$B$4)-(AQ$32*VALORI!$B$3)-(AQ$33*VALORI!$B$5),0)</f>
        <v>0</v>
      </c>
      <c r="AR47" s="28">
        <f>IF(AR12&gt;0, AR12-(AR$30*VALORI!$B$4)-(AR$31*VALORI!$B$4)-(AR$32*VALORI!$B$3)-(AR$33*VALORI!$B$5),0)</f>
        <v>0</v>
      </c>
      <c r="AS47" s="28">
        <f>IF(AS12&gt;0, AS12-(AS$30*VALORI!$B$4)-(AS$31*VALORI!$B$4)-(AS$32*VALORI!$B$3)-(AS$33*VALORI!$B$5),0)</f>
        <v>0</v>
      </c>
      <c r="AT47" s="28">
        <f>IF(AT12&gt;0, AT12-(AT$30*VALORI!$B$4)-(AT$31*VALORI!$B$4)-(AT$32*VALORI!$B$3)-(AT$33*VALORI!$B$5),0)</f>
        <v>0</v>
      </c>
    </row>
    <row r="48" spans="15:46" ht="15.75" x14ac:dyDescent="0.25">
      <c r="W48" s="28">
        <f>IF(W13&gt;0, W13-(W$30*VALORI!$B$4)-(W$31*VALORI!$B$4)-(W$32*VALORI!$B$3)-(W$33*VALORI!$B$5),0)</f>
        <v>0</v>
      </c>
      <c r="X48" s="28">
        <f>IF(X13&gt;0, X13-(X$30*VALORI!$B$4)-(X$31*VALORI!$B$4)-(X$32*VALORI!$B$3)-(X$33*VALORI!$B$5),0)</f>
        <v>0</v>
      </c>
      <c r="Y48" s="28">
        <f>IF(Y13&gt;0, Y13-(Y$30*VALORI!$B$4)-(Y$31*VALORI!$B$4)-(Y$32*VALORI!$B$3)-(Y$33*VALORI!$B$5),0)</f>
        <v>0</v>
      </c>
      <c r="Z48" s="28">
        <f>IF(Z13&gt;0, Z13-(Z$30*VALORI!$B$4)-(Z$31*VALORI!$B$4)-(Z$32*VALORI!$B$3)-(Z$33*VALORI!$B$5),0)</f>
        <v>0</v>
      </c>
      <c r="AA48" s="28">
        <f>IF(AA13&gt;0, AA13-(AA$30*VALORI!$B$4)-(AA$31*VALORI!$B$4)-(AA$32*VALORI!$B$3)-(AA$33*VALORI!$B$5),0)</f>
        <v>0</v>
      </c>
      <c r="AB48" s="28">
        <f>IF(AB13&gt;0, AB13-(AB$30*VALORI!$B$4)-(AB$31*VALORI!$B$4)-(AB$32*VALORI!$B$3)-(AB$33*VALORI!$B$5),0)</f>
        <v>0</v>
      </c>
      <c r="AC48" s="28">
        <f>IF(AC13&gt;0, AC13-(AC$30*VALORI!$B$4)-(AC$31*VALORI!$B$4)-(AC$32*VALORI!$B$3)-(AC$33*VALORI!$B$5),0)</f>
        <v>0</v>
      </c>
      <c r="AD48" s="28">
        <f>IF(AD13&gt;0, AD13-(AD$30*VALORI!$B$4)-(AD$31*VALORI!$B$4)-(AD$32*VALORI!$B$3)-(AD$33*VALORI!$B$5),0)</f>
        <v>0</v>
      </c>
      <c r="AE48" s="28">
        <f>IF(AE13&gt;0, AE13-(AE$30*VALORI!$B$4)-(AE$31*VALORI!$B$4)-(AE$32*VALORI!$B$3)-(AE$33*VALORI!$B$5),0)</f>
        <v>0</v>
      </c>
      <c r="AF48" s="28">
        <f>IF(AF13&gt;0, AF13-(AF$30*VALORI!$B$4)-(AF$31*VALORI!$B$4)-(AF$32*VALORI!$B$3)-(AF$33*VALORI!$B$5),0)</f>
        <v>0</v>
      </c>
      <c r="AG48" s="28">
        <f>IF(AG13&gt;0, AG13-(AG$30*VALORI!$B$4)-(AG$31*VALORI!$B$4)-(AG$32*VALORI!$B$3)-(AG$33*VALORI!$B$5),0)</f>
        <v>0</v>
      </c>
      <c r="AH48" s="28">
        <f>IF(AH13&gt;0, AH13-(AH$30*VALORI!$B$4)-(AH$31*VALORI!$B$4)-(AH$32*VALORI!$B$3)-(AH$33*VALORI!$B$5),0)</f>
        <v>0</v>
      </c>
      <c r="AI48" s="28">
        <f>IF(AI13&gt;0, AI13-(AI$30*VALORI!$B$4)-(AI$31*VALORI!$B$4)-(AI$32*VALORI!$B$3)-(AI$33*VALORI!$B$5),0)</f>
        <v>0</v>
      </c>
      <c r="AJ48" s="28">
        <f>IF(AJ13&gt;0, AJ13-(AJ$30*VALORI!$B$4)-(AJ$31*VALORI!$B$4)-(AJ$32*VALORI!$B$3)-(AJ$33*VALORI!$B$5),0)</f>
        <v>0</v>
      </c>
      <c r="AK48" s="28">
        <f>IF(AK13&gt;0, AK13-(AK$30*VALORI!$B$4)-(AK$31*VALORI!$B$4)-(AK$32*VALORI!$B$3)-(AK$33*VALORI!$B$5),0)</f>
        <v>0</v>
      </c>
      <c r="AL48" s="28">
        <f>IF(AL13&gt;0, AL13-(AL$30*VALORI!$B$4)-(AL$31*VALORI!$B$4)-(AL$32*VALORI!$B$3)-(AL$33*VALORI!$B$5),0)</f>
        <v>0</v>
      </c>
      <c r="AM48" s="28">
        <f>IF(AM13&gt;0, AM13-(AM$30*VALORI!$B$4)-(AM$31*VALORI!$B$4)-(AM$32*VALORI!$B$3)-(AM$33*VALORI!$B$5),0)</f>
        <v>0</v>
      </c>
      <c r="AN48" s="28">
        <f>IF(AN13&gt;0, AN13-(AN$30*VALORI!$B$4)-(AN$31*VALORI!$B$4)-(AN$32*VALORI!$B$3)-(AN$33*VALORI!$B$5),0)</f>
        <v>0</v>
      </c>
      <c r="AO48" s="28">
        <f>IF(AO13&gt;0, AO13-(AO$30*VALORI!$B$4)-(AO$31*VALORI!$B$4)-(AO$32*VALORI!$B$3)-(AO$33*VALORI!$B$5),0)</f>
        <v>0</v>
      </c>
      <c r="AQ48" s="28">
        <f>IF(AQ13&gt;0, AQ13-(AQ$30*VALORI!$B$4)-(AQ$31*VALORI!$B$4)-(AQ$32*VALORI!$B$3)-(AQ$33*VALORI!$B$5),0)</f>
        <v>0</v>
      </c>
      <c r="AR48" s="28">
        <f>IF(AR13&gt;0, AR13-(AR$30*VALORI!$B$4)-(AR$31*VALORI!$B$4)-(AR$32*VALORI!$B$3)-(AR$33*VALORI!$B$5),0)</f>
        <v>0</v>
      </c>
      <c r="AS48" s="28">
        <f>IF(AS13&gt;0, AS13-(AS$30*VALORI!$B$4)-(AS$31*VALORI!$B$4)-(AS$32*VALORI!$B$3)-(AS$33*VALORI!$B$5),0)</f>
        <v>0</v>
      </c>
      <c r="AT48" s="28">
        <f>IF(AT13&gt;0, AT13-(AT$30*VALORI!$B$4)-(AT$31*VALORI!$B$4)-(AT$32*VALORI!$B$3)-(AT$33*VALORI!$B$5),0)</f>
        <v>0</v>
      </c>
    </row>
    <row r="49" spans="23:46" ht="15.75" x14ac:dyDescent="0.25">
      <c r="W49" s="28">
        <f>IF(W22&gt;0, W22-(W$30*VALORI!$B$4)-(W$31*VALORI!$B$4)-(W$32*VALORI!$B$3)-(W$33*VALORI!$B$5),0)</f>
        <v>0</v>
      </c>
      <c r="X49" s="28">
        <f>IF(X22&gt;0, X22-(X$30*VALORI!$B$4)-(X$31*VALORI!$B$4)-(X$32*VALORI!$B$3)-(X$33*VALORI!$B$5),0)</f>
        <v>0</v>
      </c>
      <c r="Y49" s="28">
        <f>IF(Y22&gt;0, Y22-(Y$30*VALORI!$B$4)-(Y$31*VALORI!$B$4)-(Y$32*VALORI!$B$3)-(Y$33*VALORI!$B$5),0)</f>
        <v>0</v>
      </c>
      <c r="Z49" s="28">
        <f>IF(Z22&gt;0, Z22-(Z$30*VALORI!$B$4)-(Z$31*VALORI!$B$4)-(Z$32*VALORI!$B$3)-(Z$33*VALORI!$B$5),0)</f>
        <v>0</v>
      </c>
      <c r="AA49" s="28">
        <f>IF(AA22&gt;0, AA22-(AA$30*VALORI!$B$4)-(AA$31*VALORI!$B$4)-(AA$32*VALORI!$B$3)-(AA$33*VALORI!$B$5),0)</f>
        <v>0</v>
      </c>
      <c r="AB49" s="28">
        <f>IF(AB22&gt;0, AB22-(AB$30*VALORI!$B$4)-(AB$31*VALORI!$B$4)-(AB$32*VALORI!$B$3)-(AB$33*VALORI!$B$5),0)</f>
        <v>0</v>
      </c>
      <c r="AC49" s="28">
        <f>IF(AC22&gt;0, AC22-(AC$30*VALORI!$B$4)-(AC$31*VALORI!$B$4)-(AC$32*VALORI!$B$3)-(AC$33*VALORI!$B$5),0)</f>
        <v>0</v>
      </c>
      <c r="AD49" s="28">
        <f>IF(AD22&gt;0, AD22-(AD$30*VALORI!$B$4)-(AD$31*VALORI!$B$4)-(AD$32*VALORI!$B$3)-(AD$33*VALORI!$B$5),0)</f>
        <v>0</v>
      </c>
      <c r="AE49" s="28">
        <f>IF(AE22&gt;0, AE22-(AE$30*VALORI!$B$4)-(AE$31*VALORI!$B$4)-(AE$32*VALORI!$B$3)-(AE$33*VALORI!$B$5),0)</f>
        <v>0</v>
      </c>
      <c r="AF49" s="28">
        <f>IF(AF22&gt;0, AF22-(AF$30*VALORI!$B$4)-(AF$31*VALORI!$B$4)-(AF$32*VALORI!$B$3)-(AF$33*VALORI!$B$5),0)</f>
        <v>0</v>
      </c>
      <c r="AG49" s="28">
        <f>IF(AG22&gt;0, AG22-(AG$30*VALORI!$B$4)-(AG$31*VALORI!$B$4)-(AG$32*VALORI!$B$3)-(AG$33*VALORI!$B$5),0)</f>
        <v>0</v>
      </c>
      <c r="AH49" s="28">
        <f>IF(AH22&gt;0, AH22-(AH$30*VALORI!$B$4)-(AH$31*VALORI!$B$4)-(AH$32*VALORI!$B$3)-(AH$33*VALORI!$B$5),0)</f>
        <v>0</v>
      </c>
      <c r="AI49" s="28">
        <f>IF(AI22&gt;0, AI22-(AI$30*VALORI!$B$4)-(AI$31*VALORI!$B$4)-(AI$32*VALORI!$B$3)-(AI$33*VALORI!$B$5),0)</f>
        <v>0</v>
      </c>
      <c r="AJ49" s="28">
        <f>IF(AJ22&gt;0, AJ22-(AJ$30*VALORI!$B$4)-(AJ$31*VALORI!$B$4)-(AJ$32*VALORI!$B$3)-(AJ$33*VALORI!$B$5),0)</f>
        <v>0</v>
      </c>
      <c r="AK49" s="28">
        <f>IF(AK22&gt;0, AK22-(AK$30*VALORI!$B$4)-(AK$31*VALORI!$B$4)-(AK$32*VALORI!$B$3)-(AK$33*VALORI!$B$5),0)</f>
        <v>0</v>
      </c>
      <c r="AL49" s="28">
        <f>IF(AL22&gt;0, AL22-(AL$30*VALORI!$B$4)-(AL$31*VALORI!$B$4)-(AL$32*VALORI!$B$3)-(AL$33*VALORI!$B$5),0)</f>
        <v>0</v>
      </c>
      <c r="AM49" s="28">
        <f>IF(AM22&gt;0, AM22-(AM$30*VALORI!$B$4)-(AM$31*VALORI!$B$4)-(AM$32*VALORI!$B$3)-(AM$33*VALORI!$B$5),0)</f>
        <v>0</v>
      </c>
      <c r="AN49" s="28">
        <f>IF(AN22&gt;0, AN22-(AN$30*VALORI!$B$4)-(AN$31*VALORI!$B$4)-(AN$32*VALORI!$B$3)-(AN$33*VALORI!$B$5),0)</f>
        <v>0</v>
      </c>
      <c r="AO49" s="28">
        <f>IF(AO22&gt;0, AO22-(AO$30*VALORI!$B$4)-(AO$31*VALORI!$B$4)-(AO$32*VALORI!$B$3)-(AO$33*VALORI!$B$5),0)</f>
        <v>0</v>
      </c>
      <c r="AQ49" s="28">
        <f>IF(AQ22&gt;0, AQ22-(AQ$30*VALORI!$B$4)-(AQ$31*VALORI!$B$4)-(AQ$32*VALORI!$B$3)-(AQ$33*VALORI!$B$5),0)</f>
        <v>0</v>
      </c>
      <c r="AR49" s="28">
        <f>IF(AR22&gt;0, AR22-(AR$30*VALORI!$B$4)-(AR$31*VALORI!$B$4)-(AR$32*VALORI!$B$3)-(AR$33*VALORI!$B$5),0)</f>
        <v>0</v>
      </c>
      <c r="AS49" s="28">
        <f>IF(AS22&gt;0, AS22-(AS$30*VALORI!$B$4)-(AS$31*VALORI!$B$4)-(AS$32*VALORI!$B$3)-(AS$33*VALORI!$B$5),0)</f>
        <v>0</v>
      </c>
      <c r="AT49" s="28">
        <f>IF(AT22&gt;0, AT22-(AT$30*VALORI!$B$4)-(AT$31*VALORI!$B$4)-(AT$32*VALORI!$B$3)-(AT$33*VALORI!$B$5),0)</f>
        <v>0</v>
      </c>
    </row>
    <row r="50" spans="23:46" ht="15.75" x14ac:dyDescent="0.25">
      <c r="W50" s="28">
        <f>IF(W24&gt;0, W24-(W$30*VALORI!$B$4)-(W$31*VALORI!$B$4)-(W$32*VALORI!$B$3)-(W$33*VALORI!$B$5),0)</f>
        <v>0</v>
      </c>
      <c r="X50" s="28">
        <f>IF(X24&gt;0, X24-(X$30*VALORI!$B$4)-(X$31*VALORI!$B$4)-(X$32*VALORI!$B$3)-(X$33*VALORI!$B$5),0)</f>
        <v>0</v>
      </c>
      <c r="Y50" s="28">
        <f>IF(Y24&gt;0, Y24-(Y$30*VALORI!$B$4)-(Y$31*VALORI!$B$4)-(Y$32*VALORI!$B$3)-(Y$33*VALORI!$B$5),0)</f>
        <v>0</v>
      </c>
      <c r="Z50" s="28">
        <f>IF(Z24&gt;0, Z24-(Z$30*VALORI!$B$4)-(Z$31*VALORI!$B$4)-(Z$32*VALORI!$B$3)-(Z$33*VALORI!$B$5),0)</f>
        <v>0</v>
      </c>
      <c r="AA50" s="28">
        <f>IF(AA24&gt;0, AA24-(AA$30*VALORI!$B$4)-(AA$31*VALORI!$B$4)-(AA$32*VALORI!$B$3)-(AA$33*VALORI!$B$5),0)</f>
        <v>0</v>
      </c>
      <c r="AB50" s="28">
        <f>IF(AB24&gt;0, AB24-(AB$30*VALORI!$B$4)-(AB$31*VALORI!$B$4)-(AB$32*VALORI!$B$3)-(AB$33*VALORI!$B$5),0)</f>
        <v>0</v>
      </c>
      <c r="AC50" s="28">
        <f>IF(AC24&gt;0, AC24-(AC$30*VALORI!$B$4)-(AC$31*VALORI!$B$4)-(AC$32*VALORI!$B$3)-(AC$33*VALORI!$B$5),0)</f>
        <v>0</v>
      </c>
      <c r="AD50" s="28">
        <f>IF(AD24&gt;0, AD24-(AD$30*VALORI!$B$4)-(AD$31*VALORI!$B$4)-(AD$32*VALORI!$B$3)-(AD$33*VALORI!$B$5),0)</f>
        <v>0</v>
      </c>
      <c r="AE50" s="28">
        <f>IF(AE24&gt;0, AE24-(AE$30*VALORI!$B$4)-(AE$31*VALORI!$B$4)-(AE$32*VALORI!$B$3)-(AE$33*VALORI!$B$5),0)</f>
        <v>0</v>
      </c>
      <c r="AF50" s="28">
        <f>IF(AF24&gt;0, AF24-(AF$30*VALORI!$B$4)-(AF$31*VALORI!$B$4)-(AF$32*VALORI!$B$3)-(AF$33*VALORI!$B$5),0)</f>
        <v>0</v>
      </c>
      <c r="AG50" s="28">
        <f>IF(AG24&gt;0, AG24-(AG$30*VALORI!$B$4)-(AG$31*VALORI!$B$4)-(AG$32*VALORI!$B$3)-(AG$33*VALORI!$B$5),0)</f>
        <v>0</v>
      </c>
      <c r="AH50" s="28">
        <f>IF(AH24&gt;0, AH24-(AH$30*VALORI!$B$4)-(AH$31*VALORI!$B$4)-(AH$32*VALORI!$B$3)-(AH$33*VALORI!$B$5),0)</f>
        <v>0</v>
      </c>
      <c r="AI50" s="28">
        <f>IF(AI24&gt;0, AI24-(AI$30*VALORI!$B$4)-(AI$31*VALORI!$B$4)-(AI$32*VALORI!$B$3)-(AI$33*VALORI!$B$5),0)</f>
        <v>0</v>
      </c>
      <c r="AJ50" s="28">
        <f>IF(AJ24&gt;0, AJ24-(AJ$30*VALORI!$B$4)-(AJ$31*VALORI!$B$4)-(AJ$32*VALORI!$B$3)-(AJ$33*VALORI!$B$5),0)</f>
        <v>0</v>
      </c>
      <c r="AK50" s="28">
        <f>IF(AK24&gt;0, AK24-(AK$30*VALORI!$B$4)-(AK$31*VALORI!$B$4)-(AK$32*VALORI!$B$3)-(AK$33*VALORI!$B$5),0)</f>
        <v>0</v>
      </c>
      <c r="AL50" s="28">
        <f>IF(AL24&gt;0, AL24-(AL$30*VALORI!$B$4)-(AL$31*VALORI!$B$4)-(AL$32*VALORI!$B$3)-(AL$33*VALORI!$B$5),0)</f>
        <v>0</v>
      </c>
      <c r="AM50" s="28">
        <f>IF(AM24&gt;0, AM24-(AM$30*VALORI!$B$4)-(AM$31*VALORI!$B$4)-(AM$32*VALORI!$B$3)-(AM$33*VALORI!$B$5),0)</f>
        <v>0</v>
      </c>
      <c r="AN50" s="28">
        <f>IF(AN24&gt;0, AN24-(AN$30*VALORI!$B$4)-(AN$31*VALORI!$B$4)-(AN$32*VALORI!$B$3)-(AN$33*VALORI!$B$5),0)</f>
        <v>0</v>
      </c>
      <c r="AO50" s="28">
        <f>IF(AO24&gt;0, AO24-(AO$30*VALORI!$B$4)-(AO$31*VALORI!$B$4)-(AO$32*VALORI!$B$3)-(AO$33*VALORI!$B$5),0)</f>
        <v>0</v>
      </c>
      <c r="AQ50" s="28">
        <f>IF(AQ24&gt;0, AQ24-(AQ$30*VALORI!$B$4)-(AQ$31*VALORI!$B$4)-(AQ$32*VALORI!$B$3)-(AQ$33*VALORI!$B$5),0)</f>
        <v>0</v>
      </c>
      <c r="AR50" s="28">
        <f>IF(AR24&gt;0, AR24-(AR$30*VALORI!$B$4)-(AR$31*VALORI!$B$4)-(AR$32*VALORI!$B$3)-(AR$33*VALORI!$B$5),0)</f>
        <v>0</v>
      </c>
      <c r="AS50" s="28">
        <f>IF(AS24&gt;0, AS24-(AS$30*VALORI!$B$4)-(AS$31*VALORI!$B$4)-(AS$32*VALORI!$B$3)-(AS$33*VALORI!$B$5),0)</f>
        <v>0</v>
      </c>
      <c r="AT50" s="28">
        <f>IF(AT24&gt;0, AT24-(AT$30*VALORI!$B$4)-(AT$31*VALORI!$B$4)-(AT$32*VALORI!$B$3)-(AT$33*VALORI!$B$5),0)</f>
        <v>0</v>
      </c>
    </row>
    <row r="51" spans="23:46" ht="15.75" x14ac:dyDescent="0.25">
      <c r="W51" s="28">
        <f>IF(W25&gt;0, W25-(W$30*VALORI!$B$4)-(W$31*VALORI!$B$4)-(W$32*VALORI!$B$3)-(W$33*VALORI!$B$5),0)</f>
        <v>0</v>
      </c>
      <c r="X51" s="28">
        <f>IF(X25&gt;0, X25-(X$30*VALORI!$B$4)-(X$31*VALORI!$B$4)-(X$32*VALORI!$B$3)-(X$33*VALORI!$B$5),0)</f>
        <v>0</v>
      </c>
      <c r="Y51" s="28">
        <f>IF(Y25&gt;0, Y25-(Y$30*VALORI!$B$4)-(Y$31*VALORI!$B$4)-(Y$32*VALORI!$B$3)-(Y$33*VALORI!$B$5),0)</f>
        <v>0</v>
      </c>
      <c r="Z51" s="28">
        <f>IF(Z25&gt;0, Z25-(Z$30*VALORI!$B$4)-(Z$31*VALORI!$B$4)-(Z$32*VALORI!$B$3)-(Z$33*VALORI!$B$5),0)</f>
        <v>0</v>
      </c>
      <c r="AA51" s="28">
        <f>IF(AA25&gt;0, AA25-(AA$30*VALORI!$B$4)-(AA$31*VALORI!$B$4)-(AA$32*VALORI!$B$3)-(AA$33*VALORI!$B$5),0)</f>
        <v>0</v>
      </c>
      <c r="AB51" s="28">
        <f>IF(AB25&gt;0, AB25-(AB$30*VALORI!$B$4)-(AB$31*VALORI!$B$4)-(AB$32*VALORI!$B$3)-(AB$33*VALORI!$B$5),0)</f>
        <v>0</v>
      </c>
      <c r="AC51" s="28">
        <f>IF(AC25&gt;0, AC25-(AC$30*VALORI!$B$4)-(AC$31*VALORI!$B$4)-(AC$32*VALORI!$B$3)-(AC$33*VALORI!$B$5),0)</f>
        <v>0</v>
      </c>
      <c r="AD51" s="28">
        <f>IF(AD25&gt;0, AD25-(AD$30*VALORI!$B$4)-(AD$31*VALORI!$B$4)-(AD$32*VALORI!$B$3)-(AD$33*VALORI!$B$5),0)</f>
        <v>0</v>
      </c>
      <c r="AE51" s="28">
        <f>IF(AE25&gt;0, AE25-(AE$30*VALORI!$B$4)-(AE$31*VALORI!$B$4)-(AE$32*VALORI!$B$3)-(AE$33*VALORI!$B$5),0)</f>
        <v>0</v>
      </c>
      <c r="AF51" s="28">
        <f>IF(AF25&gt;0, AF25-(AF$30*VALORI!$B$4)-(AF$31*VALORI!$B$4)-(AF$32*VALORI!$B$3)-(AF$33*VALORI!$B$5),0)</f>
        <v>0</v>
      </c>
      <c r="AG51" s="28">
        <f>IF(AG25&gt;0, AG25-(AG$30*VALORI!$B$4)-(AG$31*VALORI!$B$4)-(AG$32*VALORI!$B$3)-(AG$33*VALORI!$B$5),0)</f>
        <v>0</v>
      </c>
      <c r="AH51" s="28">
        <f>IF(AH25&gt;0, AH25-(AH$30*VALORI!$B$4)-(AH$31*VALORI!$B$4)-(AH$32*VALORI!$B$3)-(AH$33*VALORI!$B$5),0)</f>
        <v>0</v>
      </c>
      <c r="AI51" s="28">
        <f>IF(AI25&gt;0, AI25-(AI$30*VALORI!$B$4)-(AI$31*VALORI!$B$4)-(AI$32*VALORI!$B$3)-(AI$33*VALORI!$B$5),0)</f>
        <v>0</v>
      </c>
      <c r="AJ51" s="28">
        <f>IF(AJ25&gt;0, AJ25-(AJ$30*VALORI!$B$4)-(AJ$31*VALORI!$B$4)-(AJ$32*VALORI!$B$3)-(AJ$33*VALORI!$B$5),0)</f>
        <v>0</v>
      </c>
      <c r="AK51" s="28">
        <f>IF(AK25&gt;0, AK25-(AK$30*VALORI!$B$4)-(AK$31*VALORI!$B$4)-(AK$32*VALORI!$B$3)-(AK$33*VALORI!$B$5),0)</f>
        <v>0</v>
      </c>
      <c r="AL51" s="28">
        <f>IF(AL25&gt;0, AL25-(AL$30*VALORI!$B$4)-(AL$31*VALORI!$B$4)-(AL$32*VALORI!$B$3)-(AL$33*VALORI!$B$5),0)</f>
        <v>0</v>
      </c>
      <c r="AM51" s="28">
        <f>IF(AM25&gt;0, AM25-(AM$30*VALORI!$B$4)-(AM$31*VALORI!$B$4)-(AM$32*VALORI!$B$3)-(AM$33*VALORI!$B$5),0)</f>
        <v>0</v>
      </c>
      <c r="AN51" s="28">
        <f>IF(AN25&gt;0, AN25-(AN$30*VALORI!$B$4)-(AN$31*VALORI!$B$4)-(AN$32*VALORI!$B$3)-(AN$33*VALORI!$B$5),0)</f>
        <v>0</v>
      </c>
      <c r="AO51" s="28">
        <f>IF(AO25&gt;0, AO25-(AO$30*VALORI!$B$4)-(AO$31*VALORI!$B$4)-(AO$32*VALORI!$B$3)-(AO$33*VALORI!$B$5),0)</f>
        <v>0</v>
      </c>
      <c r="AQ51" s="28">
        <f>IF(AQ25&gt;0, AQ25-(AQ$30*VALORI!$B$4)-(AQ$31*VALORI!$B$4)-(AQ$32*VALORI!$B$3)-(AQ$33*VALORI!$B$5),0)</f>
        <v>0</v>
      </c>
      <c r="AR51" s="28">
        <f>IF(AR25&gt;0, AR25-(AR$30*VALORI!$B$4)-(AR$31*VALORI!$B$4)-(AR$32*VALORI!$B$3)-(AR$33*VALORI!$B$5),0)</f>
        <v>0</v>
      </c>
      <c r="AS51" s="28">
        <f>IF(AS25&gt;0, AS25-(AS$30*VALORI!$B$4)-(AS$31*VALORI!$B$4)-(AS$32*VALORI!$B$3)-(AS$33*VALORI!$B$5),0)</f>
        <v>0</v>
      </c>
      <c r="AT51" s="28">
        <f>IF(AT25&gt;0, AT25-(AT$30*VALORI!$B$4)-(AT$31*VALORI!$B$4)-(AT$32*VALORI!$B$3)-(AT$33*VALORI!$B$5),0)</f>
        <v>0</v>
      </c>
    </row>
    <row r="52" spans="23:46" ht="15.75" x14ac:dyDescent="0.25">
      <c r="W52" s="28">
        <f>IF(W26&gt;0, W26-(W$30*VALORI!$B$4)-(W$31*VALORI!$B$4)-(W$32*VALORI!$B$3)-(W$33*VALORI!$B$5),0)</f>
        <v>0</v>
      </c>
      <c r="X52" s="28">
        <f>IF(X26&gt;0, X26-(X$30*VALORI!$B$4)-(X$31*VALORI!$B$4)-(X$32*VALORI!$B$3)-(X$33*VALORI!$B$5),0)</f>
        <v>0</v>
      </c>
      <c r="Y52" s="28">
        <f>IF(Y26&gt;0, Y26-(Y$30*VALORI!$B$4)-(Y$31*VALORI!$B$4)-(Y$32*VALORI!$B$3)-(Y$33*VALORI!$B$5),0)</f>
        <v>0</v>
      </c>
      <c r="Z52" s="28">
        <f>IF(Z26&gt;0, Z26-(Z$30*VALORI!$B$4)-(Z$31*VALORI!$B$4)-(Z$32*VALORI!$B$3)-(Z$33*VALORI!$B$5),0)</f>
        <v>0</v>
      </c>
      <c r="AA52" s="28">
        <f>IF(AA26&gt;0, AA26-(AA$30*VALORI!$B$4)-(AA$31*VALORI!$B$4)-(AA$32*VALORI!$B$3)-(AA$33*VALORI!$B$5),0)</f>
        <v>0</v>
      </c>
      <c r="AB52" s="28">
        <f>IF(AB26&gt;0, AB26-(AB$30*VALORI!$B$4)-(AB$31*VALORI!$B$4)-(AB$32*VALORI!$B$3)-(AB$33*VALORI!$B$5),0)</f>
        <v>0</v>
      </c>
      <c r="AC52" s="28">
        <f>IF(AC26&gt;0, AC26-(AC$30*VALORI!$B$4)-(AC$31*VALORI!$B$4)-(AC$32*VALORI!$B$3)-(AC$33*VALORI!$B$5),0)</f>
        <v>0</v>
      </c>
      <c r="AD52" s="28">
        <f>IF(AD26&gt;0, AD26-(AD$30*VALORI!$B$4)-(AD$31*VALORI!$B$4)-(AD$32*VALORI!$B$3)-(AD$33*VALORI!$B$5),0)</f>
        <v>0</v>
      </c>
      <c r="AE52" s="28">
        <f>IF(AE26&gt;0, AE26-(AE$30*VALORI!$B$4)-(AE$31*VALORI!$B$4)-(AE$32*VALORI!$B$3)-(AE$33*VALORI!$B$5),0)</f>
        <v>0</v>
      </c>
      <c r="AF52" s="28">
        <f>IF(AF26&gt;0, AF26-(AF$30*VALORI!$B$4)-(AF$31*VALORI!$B$4)-(AF$32*VALORI!$B$3)-(AF$33*VALORI!$B$5),0)</f>
        <v>0</v>
      </c>
      <c r="AG52" s="28">
        <f>IF(AG26&gt;0, AG26-(AG$30*VALORI!$B$4)-(AG$31*VALORI!$B$4)-(AG$32*VALORI!$B$3)-(AG$33*VALORI!$B$5),0)</f>
        <v>0</v>
      </c>
      <c r="AH52" s="28">
        <f>IF(AH26&gt;0, AH26-(AH$30*VALORI!$B$4)-(AH$31*VALORI!$B$4)-(AH$32*VALORI!$B$3)-(AH$33*VALORI!$B$5),0)</f>
        <v>0</v>
      </c>
      <c r="AI52" s="28">
        <f>IF(AI26&gt;0, AI26-(AI$30*VALORI!$B$4)-(AI$31*VALORI!$B$4)-(AI$32*VALORI!$B$3)-(AI$33*VALORI!$B$5),0)</f>
        <v>0</v>
      </c>
      <c r="AJ52" s="28">
        <f>IF(AJ26&gt;0, AJ26-(AJ$30*VALORI!$B$4)-(AJ$31*VALORI!$B$4)-(AJ$32*VALORI!$B$3)-(AJ$33*VALORI!$B$5),0)</f>
        <v>0</v>
      </c>
      <c r="AK52" s="28">
        <f>IF(AK26&gt;0, AK26-(AK$30*VALORI!$B$4)-(AK$31*VALORI!$B$4)-(AK$32*VALORI!$B$3)-(AK$33*VALORI!$B$5),0)</f>
        <v>0</v>
      </c>
      <c r="AL52" s="28">
        <f>IF(AL26&gt;0, AL26-(AL$30*VALORI!$B$4)-(AL$31*VALORI!$B$4)-(AL$32*VALORI!$B$3)-(AL$33*VALORI!$B$5),0)</f>
        <v>0</v>
      </c>
      <c r="AM52" s="28">
        <f>IF(AM26&gt;0, AM26-(AM$30*VALORI!$B$4)-(AM$31*VALORI!$B$4)-(AM$32*VALORI!$B$3)-(AM$33*VALORI!$B$5),0)</f>
        <v>0</v>
      </c>
      <c r="AN52" s="28">
        <f>IF(AN26&gt;0, AN26-(AN$30*VALORI!$B$4)-(AN$31*VALORI!$B$4)-(AN$32*VALORI!$B$3)-(AN$33*VALORI!$B$5),0)</f>
        <v>0</v>
      </c>
      <c r="AO52" s="28">
        <f>IF(AO26&gt;0, AO26-(AO$30*VALORI!$B$4)-(AO$31*VALORI!$B$4)-(AO$32*VALORI!$B$3)-(AO$33*VALORI!$B$5),0)</f>
        <v>0</v>
      </c>
      <c r="AQ52" s="28">
        <f>IF(AQ26&gt;0, AQ26-(AQ$30*VALORI!$B$4)-(AQ$31*VALORI!$B$4)-(AQ$32*VALORI!$B$3)-(AQ$33*VALORI!$B$5),0)</f>
        <v>0</v>
      </c>
      <c r="AR52" s="28">
        <f>IF(AR26&gt;0, AR26-(AR$30*VALORI!$B$4)-(AR$31*VALORI!$B$4)-(AR$32*VALORI!$B$3)-(AR$33*VALORI!$B$5),0)</f>
        <v>0</v>
      </c>
      <c r="AS52" s="28">
        <f>IF(AS26&gt;0, AS26-(AS$30*VALORI!$B$4)-(AS$31*VALORI!$B$4)-(AS$32*VALORI!$B$3)-(AS$33*VALORI!$B$5),0)</f>
        <v>0</v>
      </c>
      <c r="AT52" s="28">
        <f>IF(AT26&gt;0, AT26-(AT$30*VALORI!$B$4)-(AT$31*VALORI!$B$4)-(AT$32*VALORI!$B$3)-(AT$33*VALORI!$B$5),0)</f>
        <v>0</v>
      </c>
    </row>
    <row r="53" spans="23:46" ht="15.75" x14ac:dyDescent="0.25">
      <c r="W53" s="28">
        <f>IF(W27&gt;0, W27-(W$30*VALORI!$B$4)-(W$31*VALORI!$B$4)-(W$32*VALORI!$B$3)-(W$33*VALORI!$B$5),0)</f>
        <v>0</v>
      </c>
      <c r="X53" s="28">
        <f>IF(X27&gt;0, X27-(X$30*VALORI!$B$4)-(X$31*VALORI!$B$4)-(X$32*VALORI!$B$3)-(X$33*VALORI!$B$5),0)</f>
        <v>0</v>
      </c>
      <c r="Y53" s="28">
        <f>IF(Y27&gt;0, Y27-(Y$30*VALORI!$B$4)-(Y$31*VALORI!$B$4)-(Y$32*VALORI!$B$3)-(Y$33*VALORI!$B$5),0)</f>
        <v>0</v>
      </c>
      <c r="Z53" s="28">
        <f>IF(Z27&gt;0, Z27-(Z$30*VALORI!$B$4)-(Z$31*VALORI!$B$4)-(Z$32*VALORI!$B$3)-(Z$33*VALORI!$B$5),0)</f>
        <v>0</v>
      </c>
      <c r="AA53" s="28">
        <f>IF(AA27&gt;0, AA27-(AA$30*VALORI!$B$4)-(AA$31*VALORI!$B$4)-(AA$32*VALORI!$B$3)-(AA$33*VALORI!$B$5),0)</f>
        <v>0</v>
      </c>
      <c r="AB53" s="28">
        <f>IF(AB27&gt;0, AB27-(AB$30*VALORI!$B$4)-(AB$31*VALORI!$B$4)-(AB$32*VALORI!$B$3)-(AB$33*VALORI!$B$5),0)</f>
        <v>0</v>
      </c>
      <c r="AC53" s="28">
        <f>IF(AC27&gt;0, AC27-(AC$30*VALORI!$B$4)-(AC$31*VALORI!$B$4)-(AC$32*VALORI!$B$3)-(AC$33*VALORI!$B$5),0)</f>
        <v>0</v>
      </c>
      <c r="AD53" s="28">
        <f>IF(AD27&gt;0, AD27-(AD$30*VALORI!$B$4)-(AD$31*VALORI!$B$4)-(AD$32*VALORI!$B$3)-(AD$33*VALORI!$B$5),0)</f>
        <v>0</v>
      </c>
      <c r="AE53" s="28">
        <f>IF(AE27&gt;0, AE27-(AE$30*VALORI!$B$4)-(AE$31*VALORI!$B$4)-(AE$32*VALORI!$B$3)-(AE$33*VALORI!$B$5),0)</f>
        <v>0</v>
      </c>
      <c r="AF53" s="28">
        <f>IF(AF27&gt;0, AF27-(AF$30*VALORI!$B$4)-(AF$31*VALORI!$B$4)-(AF$32*VALORI!$B$3)-(AF$33*VALORI!$B$5),0)</f>
        <v>0</v>
      </c>
      <c r="AG53" s="28">
        <f>IF(AG27&gt;0, AG27-(AG$30*VALORI!$B$4)-(AG$31*VALORI!$B$4)-(AG$32*VALORI!$B$3)-(AG$33*VALORI!$B$5),0)</f>
        <v>0</v>
      </c>
      <c r="AH53" s="28">
        <f>IF(AH27&gt;0, AH27-(AH$30*VALORI!$B$4)-(AH$31*VALORI!$B$4)-(AH$32*VALORI!$B$3)-(AH$33*VALORI!$B$5),0)</f>
        <v>0</v>
      </c>
      <c r="AI53" s="28">
        <f>IF(AI27&gt;0, AI27-(AI$30*VALORI!$B$4)-(AI$31*VALORI!$B$4)-(AI$32*VALORI!$B$3)-(AI$33*VALORI!$B$5),0)</f>
        <v>0</v>
      </c>
      <c r="AJ53" s="28">
        <f>IF(AJ27&gt;0, AJ27-(AJ$30*VALORI!$B$4)-(AJ$31*VALORI!$B$4)-(AJ$32*VALORI!$B$3)-(AJ$33*VALORI!$B$5),0)</f>
        <v>0</v>
      </c>
      <c r="AK53" s="28">
        <f>IF(AK27&gt;0, AK27-(AK$30*VALORI!$B$4)-(AK$31*VALORI!$B$4)-(AK$32*VALORI!$B$3)-(AK$33*VALORI!$B$5),0)</f>
        <v>0</v>
      </c>
      <c r="AL53" s="28">
        <f>IF(AL27&gt;0, AL27-(AL$30*VALORI!$B$4)-(AL$31*VALORI!$B$4)-(AL$32*VALORI!$B$3)-(AL$33*VALORI!$B$5),0)</f>
        <v>0</v>
      </c>
      <c r="AM53" s="28">
        <f>IF(AM27&gt;0, AM27-(AM$30*VALORI!$B$4)-(AM$31*VALORI!$B$4)-(AM$32*VALORI!$B$3)-(AM$33*VALORI!$B$5),0)</f>
        <v>0</v>
      </c>
      <c r="AN53" s="28">
        <f>IF(AN27&gt;0, AN27-(AN$30*VALORI!$B$4)-(AN$31*VALORI!$B$4)-(AN$32*VALORI!$B$3)-(AN$33*VALORI!$B$5),0)</f>
        <v>0</v>
      </c>
      <c r="AO53" s="28">
        <f>IF(AO27&gt;0, AO27-(AO$30*VALORI!$B$4)-(AO$31*VALORI!$B$4)-(AO$32*VALORI!$B$3)-(AO$33*VALORI!$B$5),0)</f>
        <v>0</v>
      </c>
      <c r="AQ53" s="28">
        <f>IF(AQ27&gt;0, AQ27-(AQ$30*VALORI!$B$4)-(AQ$31*VALORI!$B$4)-(AQ$32*VALORI!$B$3)-(AQ$33*VALORI!$B$5),0)</f>
        <v>0</v>
      </c>
      <c r="AR53" s="28">
        <f>IF(AR27&gt;0, AR27-(AR$30*VALORI!$B$4)-(AR$31*VALORI!$B$4)-(AR$32*VALORI!$B$3)-(AR$33*VALORI!$B$5),0)</f>
        <v>0</v>
      </c>
      <c r="AS53" s="28">
        <f>IF(AS27&gt;0, AS27-(AS$30*VALORI!$B$4)-(AS$31*VALORI!$B$4)-(AS$32*VALORI!$B$3)-(AS$33*VALORI!$B$5),0)</f>
        <v>0</v>
      </c>
      <c r="AT53" s="28">
        <f>IF(AT27&gt;0, AT27-(AT$30*VALORI!$B$4)-(AT$31*VALORI!$B$4)-(AT$32*VALORI!$B$3)-(AT$33*VALORI!$B$5),0)</f>
        <v>0</v>
      </c>
    </row>
    <row r="54" spans="23:46" ht="15.75" x14ac:dyDescent="0.25">
      <c r="W54" s="28">
        <f>IF(W28&gt;0, W28-(W$30*VALORI!$B$4)-(W$31*VALORI!$B$4)-(W$32*VALORI!$B$3)-(W$33*VALORI!$B$5),0)</f>
        <v>0</v>
      </c>
      <c r="X54" s="28">
        <f>IF(X28&gt;0, X28-(X$30*VALORI!$B$4)-(X$31*VALORI!$B$4)-(X$32*VALORI!$B$3)-(X$33*VALORI!$B$5),0)</f>
        <v>0</v>
      </c>
      <c r="Y54" s="28">
        <f>IF(Y28&gt;0, Y28-(Y$30*VALORI!$B$4)-(Y$31*VALORI!$B$4)-(Y$32*VALORI!$B$3)-(Y$33*VALORI!$B$5),0)</f>
        <v>0</v>
      </c>
      <c r="Z54" s="28">
        <f>IF(Z28&gt;0, Z28-(Z$30*VALORI!$B$4)-(Z$31*VALORI!$B$4)-(Z$32*VALORI!$B$3)-(Z$33*VALORI!$B$5),0)</f>
        <v>0</v>
      </c>
      <c r="AA54" s="28">
        <f>IF(AA28&gt;0, AA28-(AA$30*VALORI!$B$4)-(AA$31*VALORI!$B$4)-(AA$32*VALORI!$B$3)-(AA$33*VALORI!$B$5),0)</f>
        <v>0</v>
      </c>
      <c r="AB54" s="28">
        <f>IF(AB28&gt;0, AB28-(AB$30*VALORI!$B$4)-(AB$31*VALORI!$B$4)-(AB$32*VALORI!$B$3)-(AB$33*VALORI!$B$5),0)</f>
        <v>0</v>
      </c>
      <c r="AC54" s="28">
        <f>IF(AC28&gt;0, AC28-(AC$30*VALORI!$B$4)-(AC$31*VALORI!$B$4)-(AC$32*VALORI!$B$3)-(AC$33*VALORI!$B$5),0)</f>
        <v>0</v>
      </c>
      <c r="AD54" s="28">
        <f>IF(AD28&gt;0, AD28-(AD$30*VALORI!$B$4)-(AD$31*VALORI!$B$4)-(AD$32*VALORI!$B$3)-(AD$33*VALORI!$B$5),0)</f>
        <v>0</v>
      </c>
      <c r="AE54" s="28">
        <f>IF(AE28&gt;0, AE28-(AE$30*VALORI!$B$4)-(AE$31*VALORI!$B$4)-(AE$32*VALORI!$B$3)-(AE$33*VALORI!$B$5),0)</f>
        <v>0</v>
      </c>
      <c r="AF54" s="28">
        <f>IF(AF28&gt;0, AF28-(AF$30*VALORI!$B$4)-(AF$31*VALORI!$B$4)-(AF$32*VALORI!$B$3)-(AF$33*VALORI!$B$5),0)</f>
        <v>0</v>
      </c>
      <c r="AG54" s="28">
        <f>IF(AG28&gt;0, AG28-(AG$30*VALORI!$B$4)-(AG$31*VALORI!$B$4)-(AG$32*VALORI!$B$3)-(AG$33*VALORI!$B$5),0)</f>
        <v>0</v>
      </c>
      <c r="AH54" s="28">
        <f>IF(AH28&gt;0, AH28-(AH$30*VALORI!$B$4)-(AH$31*VALORI!$B$4)-(AH$32*VALORI!$B$3)-(AH$33*VALORI!$B$5),0)</f>
        <v>0</v>
      </c>
      <c r="AI54" s="28">
        <f>IF(AI28&gt;0, AI28-(AI$30*VALORI!$B$4)-(AI$31*VALORI!$B$4)-(AI$32*VALORI!$B$3)-(AI$33*VALORI!$B$5),0)</f>
        <v>0</v>
      </c>
      <c r="AJ54" s="28">
        <f>IF(AJ28&gt;0, AJ28-(AJ$30*VALORI!$B$4)-(AJ$31*VALORI!$B$4)-(AJ$32*VALORI!$B$3)-(AJ$33*VALORI!$B$5),0)</f>
        <v>0</v>
      </c>
      <c r="AK54" s="28">
        <f>IF(AK28&gt;0, AK28-(AK$30*VALORI!$B$4)-(AK$31*VALORI!$B$4)-(AK$32*VALORI!$B$3)-(AK$33*VALORI!$B$5),0)</f>
        <v>0</v>
      </c>
      <c r="AL54" s="28">
        <f>IF(AL28&gt;0, AL28-(AL$30*VALORI!$B$4)-(AL$31*VALORI!$B$4)-(AL$32*VALORI!$B$3)-(AL$33*VALORI!$B$5),0)</f>
        <v>0</v>
      </c>
      <c r="AM54" s="28">
        <f>IF(AM28&gt;0, AM28-(AM$30*VALORI!$B$4)-(AM$31*VALORI!$B$4)-(AM$32*VALORI!$B$3)-(AM$33*VALORI!$B$5),0)</f>
        <v>0</v>
      </c>
      <c r="AN54" s="28">
        <f>IF(AN28&gt;0, AN28-(AN$30*VALORI!$B$4)-(AN$31*VALORI!$B$4)-(AN$32*VALORI!$B$3)-(AN$33*VALORI!$B$5),0)</f>
        <v>0</v>
      </c>
      <c r="AO54" s="28">
        <f>IF(AO28&gt;0, AO28-(AO$30*VALORI!$B$4)-(AO$31*VALORI!$B$4)-(AO$32*VALORI!$B$3)-(AO$33*VALORI!$B$5),0)</f>
        <v>0</v>
      </c>
      <c r="AQ54" s="28">
        <f>IF(AQ28&gt;0, AQ28-(AQ$30*VALORI!$B$4)-(AQ$31*VALORI!$B$4)-(AQ$32*VALORI!$B$3)-(AQ$33*VALORI!$B$5),0)</f>
        <v>0</v>
      </c>
      <c r="AR54" s="28">
        <f>IF(AR28&gt;0, AR28-(AR$30*VALORI!$B$4)-(AR$31*VALORI!$B$4)-(AR$32*VALORI!$B$3)-(AR$33*VALORI!$B$5),0)</f>
        <v>0</v>
      </c>
      <c r="AS54" s="28">
        <f>IF(AS28&gt;0, AS28-(AS$30*VALORI!$B$4)-(AS$31*VALORI!$B$4)-(AS$32*VALORI!$B$3)-(AS$33*VALORI!$B$5),0)</f>
        <v>0</v>
      </c>
      <c r="AT54" s="28">
        <f>IF(AT28&gt;0, AT28-(AT$30*VALORI!$B$4)-(AT$31*VALORI!$B$4)-(AT$32*VALORI!$B$3)-(AT$33*VALORI!$B$5),0)</f>
        <v>0</v>
      </c>
    </row>
    <row r="57" spans="23:46" ht="72.75" x14ac:dyDescent="0.25">
      <c r="W57" s="94" t="s">
        <v>340</v>
      </c>
      <c r="X57" s="94" t="s">
        <v>340</v>
      </c>
      <c r="Y57" s="94" t="s">
        <v>340</v>
      </c>
      <c r="Z57" s="94" t="s">
        <v>340</v>
      </c>
      <c r="AA57" s="94" t="s">
        <v>340</v>
      </c>
      <c r="AB57" s="94" t="s">
        <v>340</v>
      </c>
      <c r="AC57" s="94" t="s">
        <v>340</v>
      </c>
      <c r="AD57" s="94" t="s">
        <v>340</v>
      </c>
      <c r="AE57" s="94" t="s">
        <v>340</v>
      </c>
      <c r="AF57" s="94" t="s">
        <v>340</v>
      </c>
      <c r="AG57" s="94" t="s">
        <v>340</v>
      </c>
      <c r="AH57" s="94" t="s">
        <v>340</v>
      </c>
      <c r="AI57" s="94" t="s">
        <v>340</v>
      </c>
      <c r="AJ57" s="94" t="s">
        <v>340</v>
      </c>
      <c r="AK57" s="94" t="s">
        <v>340</v>
      </c>
      <c r="AL57" s="94" t="s">
        <v>340</v>
      </c>
      <c r="AM57" s="94" t="s">
        <v>340</v>
      </c>
      <c r="AN57" s="94" t="s">
        <v>340</v>
      </c>
      <c r="AO57" s="94" t="s">
        <v>340</v>
      </c>
      <c r="AQ57" s="94" t="s">
        <v>340</v>
      </c>
      <c r="AR57" s="94" t="s">
        <v>340</v>
      </c>
      <c r="AS57" s="94" t="s">
        <v>340</v>
      </c>
      <c r="AT57" s="94" t="s">
        <v>340</v>
      </c>
    </row>
    <row r="58" spans="23:46" ht="15.75" x14ac:dyDescent="0.25">
      <c r="W58" s="28">
        <f>IF(W3&gt;0, (W$30*VALORI!$B$4)+(W$31*VALORI!$B$4)+(W$32*VALORI!$B$3)+(W$33*VALORI!$B$5),0)</f>
        <v>1240</v>
      </c>
      <c r="X58" s="28">
        <f>IF(X3&gt;0, (X$30*VALORI!$B$4)+(X$31*VALORI!$B$4)+(X$32*VALORI!$B$3)+(X$33*VALORI!$B$5),0)</f>
        <v>3720</v>
      </c>
      <c r="Y58" s="28">
        <f>IF(Y3&gt;0, (Y$30*VALORI!$B$4)+(Y$31*VALORI!$B$4)+(Y$32*VALORI!$B$3)+(Y$33*VALORI!$B$5),0)</f>
        <v>992</v>
      </c>
      <c r="Z58" s="28">
        <f>IF(Z3&gt;0, (Z$30*VALORI!$B$4)+(Z$31*VALORI!$B$4)+(Z$32*VALORI!$B$3)+(Z$33*VALORI!$B$5),0)</f>
        <v>992</v>
      </c>
      <c r="AA58" s="28">
        <f>IF(AA3&gt;0, (AA$30*VALORI!$B$4)+(AA$31*VALORI!$B$4)+(AA$32*VALORI!$B$3)+(AA$33*VALORI!$B$5),0)</f>
        <v>876</v>
      </c>
      <c r="AB58" s="28">
        <f>IF(AB3&gt;0, (AB$30*VALORI!$B$4)+(AB$31*VALORI!$B$4)+(AB$32*VALORI!$B$3)+(AB$33*VALORI!$B$5),0)</f>
        <v>103</v>
      </c>
      <c r="AC58" s="28">
        <f>IF(AC3&gt;0, (AC$30*VALORI!$B$4)+(AC$31*VALORI!$B$4)+(AC$32*VALORI!$B$3)+(AC$33*VALORI!$B$5),0)</f>
        <v>794</v>
      </c>
      <c r="AD58" s="28">
        <f>IF(AD3&gt;0, (AD$30*VALORI!$B$4)+(AD$31*VALORI!$B$4)+(AD$32*VALORI!$B$3)+(AD$33*VALORI!$B$5),0)</f>
        <v>2354</v>
      </c>
      <c r="AE58" s="28">
        <f>IF(AE3&gt;0, (AE$30*VALORI!$B$4)+(AE$31*VALORI!$B$4)+(AE$32*VALORI!$B$3)+(AE$33*VALORI!$B$5),0)</f>
        <v>1268</v>
      </c>
      <c r="AF58" s="28">
        <f>IF(AF3&gt;0, (AF$30*VALORI!$B$4)+(AF$31*VALORI!$B$4)+(AF$32*VALORI!$B$3)+(AF$33*VALORI!$B$5),0)</f>
        <v>1123</v>
      </c>
      <c r="AG58" s="28">
        <f>IF(AG3&gt;0, (AG$30*VALORI!$B$4)+(AG$31*VALORI!$B$4)+(AG$32*VALORI!$B$3)+(AG$33*VALORI!$B$5),0)</f>
        <v>1123</v>
      </c>
      <c r="AH58" s="28">
        <f>IF(AH3&gt;0, (AH$30*VALORI!$B$4)+(AH$31*VALORI!$B$4)+(AH$32*VALORI!$B$3)+(AH$33*VALORI!$B$5),0)</f>
        <v>0</v>
      </c>
      <c r="AI58" s="28">
        <f>IF(AI3&gt;0, (AI$30*VALORI!$B$4)+(AI$31*VALORI!$B$4)+(AI$32*VALORI!$B$3)+(AI$33*VALORI!$B$5),0)</f>
        <v>0</v>
      </c>
      <c r="AJ58" s="28">
        <f>IF(AJ3&gt;0, (AJ$30*VALORI!$B$4)+(AJ$31*VALORI!$B$4)+(AJ$32*VALORI!$B$3)+(AJ$33*VALORI!$B$5),0)</f>
        <v>0</v>
      </c>
      <c r="AK58" s="28">
        <f>IF(AK3&gt;0, (AK$30*VALORI!$B$4)+(AK$31*VALORI!$B$4)+(AK$32*VALORI!$B$3)+(AK$33*VALORI!$B$5),0)</f>
        <v>0</v>
      </c>
      <c r="AL58" s="28">
        <f>IF(AL3&gt;0, (AL$30*VALORI!$B$4)+(AL$31*VALORI!$B$4)+(AL$32*VALORI!$B$3)+(AL$33*VALORI!$B$5),0)</f>
        <v>642</v>
      </c>
      <c r="AM58" s="28">
        <f>IF(AM3&gt;0, (AM$30*VALORI!$B$4)+(AM$31*VALORI!$B$4)+(AM$32*VALORI!$B$3)+(AM$33*VALORI!$B$5),0)</f>
        <v>0</v>
      </c>
      <c r="AN58" s="28">
        <f>IF(AN3&gt;0, (AN$30*VALORI!$B$4)+(AN$31*VALORI!$B$4)+(AN$32*VALORI!$B$3)+(AN$33*VALORI!$B$5),0)</f>
        <v>0</v>
      </c>
      <c r="AO58" s="28">
        <f>IF(AO3&gt;0, (AO$30*VALORI!$B$4)+(AO$31*VALORI!$B$4)+(AO$32*VALORI!$B$3)+(AO$33*VALORI!$B$5),0)</f>
        <v>0</v>
      </c>
      <c r="AQ58" s="28">
        <f>IF(AQ3&gt;0, (AQ$30*VALORI!$B$4)+(AQ$31*VALORI!$B$4)+(AQ$32*VALORI!$B$3)+(AQ$33*VALORI!$B$5),0)</f>
        <v>0</v>
      </c>
      <c r="AR58" s="28">
        <f>IF(AR3&gt;0, (AR$30*VALORI!$B$4)+(AR$31*VALORI!$B$4)+(AR$32*VALORI!$B$3)+(AR$33*VALORI!$B$5),0)</f>
        <v>0</v>
      </c>
      <c r="AS58" s="28">
        <f>IF(AS3&gt;0, (AS$30*VALORI!$B$4)+(AS$31*VALORI!$B$4)+(AS$32*VALORI!$B$3)+(AS$33*VALORI!$B$5),0)</f>
        <v>0</v>
      </c>
      <c r="AT58" s="28">
        <f>IF(AT3&gt;0, (AT$30*VALORI!$B$4)+(AT$31*VALORI!$B$4)+(AT$32*VALORI!$B$3)+(AT$33*VALORI!$B$5),0)</f>
        <v>0</v>
      </c>
    </row>
    <row r="59" spans="23:46" ht="15.75" x14ac:dyDescent="0.25">
      <c r="W59" s="28">
        <f>IF(W4&gt;0, (W$30*VALORI!$B$4)+(W$31*VALORI!$B$4)+(W$32*VALORI!$B$3)+(W$33*VALORI!$B$5),0)</f>
        <v>1240</v>
      </c>
      <c r="X59" s="28">
        <f>IF(X4&gt;0, (X$30*VALORI!$B$4)+(X$31*VALORI!$B$4)+(X$32*VALORI!$B$3)+(X$33*VALORI!$B$5),0)</f>
        <v>3720</v>
      </c>
      <c r="Y59" s="28">
        <f>IF(Y4&gt;0, (Y$30*VALORI!$B$4)+(Y$31*VALORI!$B$4)+(Y$32*VALORI!$B$3)+(Y$33*VALORI!$B$5),0)</f>
        <v>992</v>
      </c>
      <c r="Z59" s="28">
        <f>IF(Z4&gt;0, (Z$30*VALORI!$B$4)+(Z$31*VALORI!$B$4)+(Z$32*VALORI!$B$3)+(Z$33*VALORI!$B$5),0)</f>
        <v>992</v>
      </c>
      <c r="AA59" s="28">
        <f>IF(AA4&gt;0, (AA$30*VALORI!$B$4)+(AA$31*VALORI!$B$4)+(AA$32*VALORI!$B$3)+(AA$33*VALORI!$B$5),0)</f>
        <v>876</v>
      </c>
      <c r="AB59" s="28">
        <f>IF(AB4&gt;0, (AB$30*VALORI!$B$4)+(AB$31*VALORI!$B$4)+(AB$32*VALORI!$B$3)+(AB$33*VALORI!$B$5),0)</f>
        <v>103</v>
      </c>
      <c r="AC59" s="28">
        <f>IF(AC4&gt;0, (AC$30*VALORI!$B$4)+(AC$31*VALORI!$B$4)+(AC$32*VALORI!$B$3)+(AC$33*VALORI!$B$5),0)</f>
        <v>794</v>
      </c>
      <c r="AD59" s="28">
        <f>IF(AD4&gt;0, (AD$30*VALORI!$B$4)+(AD$31*VALORI!$B$4)+(AD$32*VALORI!$B$3)+(AD$33*VALORI!$B$5),0)</f>
        <v>2354</v>
      </c>
      <c r="AE59" s="28">
        <f>IF(AE4&gt;0, (AE$30*VALORI!$B$4)+(AE$31*VALORI!$B$4)+(AE$32*VALORI!$B$3)+(AE$33*VALORI!$B$5),0)</f>
        <v>1268</v>
      </c>
      <c r="AF59" s="28">
        <f>IF(AF4&gt;0, (AF$30*VALORI!$B$4)+(AF$31*VALORI!$B$4)+(AF$32*VALORI!$B$3)+(AF$33*VALORI!$B$5),0)</f>
        <v>1123</v>
      </c>
      <c r="AG59" s="28">
        <f>IF(AG4&gt;0, (AG$30*VALORI!$B$4)+(AG$31*VALORI!$B$4)+(AG$32*VALORI!$B$3)+(AG$33*VALORI!$B$5),0)</f>
        <v>1123</v>
      </c>
      <c r="AH59" s="28">
        <f>IF(AH4&gt;0, (AH$30*VALORI!$B$4)+(AH$31*VALORI!$B$4)+(AH$32*VALORI!$B$3)+(AH$33*VALORI!$B$5),0)</f>
        <v>0</v>
      </c>
      <c r="AI59" s="28">
        <f>IF(AI4&gt;0, (AI$30*VALORI!$B$4)+(AI$31*VALORI!$B$4)+(AI$32*VALORI!$B$3)+(AI$33*VALORI!$B$5),0)</f>
        <v>0</v>
      </c>
      <c r="AJ59" s="28">
        <f>IF(AJ4&gt;0, (AJ$30*VALORI!$B$4)+(AJ$31*VALORI!$B$4)+(AJ$32*VALORI!$B$3)+(AJ$33*VALORI!$B$5),0)</f>
        <v>0</v>
      </c>
      <c r="AK59" s="28">
        <f>IF(AK4&gt;0, (AK$30*VALORI!$B$4)+(AK$31*VALORI!$B$4)+(AK$32*VALORI!$B$3)+(AK$33*VALORI!$B$5),0)</f>
        <v>0</v>
      </c>
      <c r="AL59" s="28">
        <f>IF(AL4&gt;0, (AL$30*VALORI!$B$4)+(AL$31*VALORI!$B$4)+(AL$32*VALORI!$B$3)+(AL$33*VALORI!$B$5),0)</f>
        <v>642</v>
      </c>
      <c r="AM59" s="28">
        <f>IF(AM4&gt;0, (AM$30*VALORI!$B$4)+(AM$31*VALORI!$B$4)+(AM$32*VALORI!$B$3)+(AM$33*VALORI!$B$5),0)</f>
        <v>0</v>
      </c>
      <c r="AN59" s="28">
        <f>IF(AN4&gt;0, (AN$30*VALORI!$B$4)+(AN$31*VALORI!$B$4)+(AN$32*VALORI!$B$3)+(AN$33*VALORI!$B$5),0)</f>
        <v>0</v>
      </c>
      <c r="AO59" s="28">
        <f>IF(AO4&gt;0, (AO$30*VALORI!$B$4)+(AO$31*VALORI!$B$4)+(AO$32*VALORI!$B$3)+(AO$33*VALORI!$B$5),0)</f>
        <v>0</v>
      </c>
      <c r="AQ59" s="28">
        <f>IF(AQ4&gt;0, (AQ$30*VALORI!$B$4)+(AQ$31*VALORI!$B$4)+(AQ$32*VALORI!$B$3)+(AQ$33*VALORI!$B$5),0)</f>
        <v>0</v>
      </c>
      <c r="AR59" s="28">
        <f>IF(AR4&gt;0, (AR$30*VALORI!$B$4)+(AR$31*VALORI!$B$4)+(AR$32*VALORI!$B$3)+(AR$33*VALORI!$B$5),0)</f>
        <v>0</v>
      </c>
      <c r="AS59" s="28">
        <f>IF(AS4&gt;0, (AS$30*VALORI!$B$4)+(AS$31*VALORI!$B$4)+(AS$32*VALORI!$B$3)+(AS$33*VALORI!$B$5),0)</f>
        <v>0</v>
      </c>
      <c r="AT59" s="28">
        <f>IF(AT4&gt;0, (AT$30*VALORI!$B$4)+(AT$31*VALORI!$B$4)+(AT$32*VALORI!$B$3)+(AT$33*VALORI!$B$5),0)</f>
        <v>0</v>
      </c>
    </row>
    <row r="60" spans="23:46" ht="15.75" x14ac:dyDescent="0.25">
      <c r="W60" s="28">
        <f>IF(W5&gt;0, (W$30*VALORI!$B$4)+(W$31*VALORI!$B$4)+(W$32*VALORI!$B$3)+(W$33*VALORI!$B$5),0)</f>
        <v>1240</v>
      </c>
      <c r="X60" s="28">
        <f>IF(X5&gt;0, (X$30*VALORI!$B$4)+(X$31*VALORI!$B$4)+(X$32*VALORI!$B$3)+(X$33*VALORI!$B$5),0)</f>
        <v>3720</v>
      </c>
      <c r="Y60" s="28">
        <f>IF(Y5&gt;0, (Y$30*VALORI!$B$4)+(Y$31*VALORI!$B$4)+(Y$32*VALORI!$B$3)+(Y$33*VALORI!$B$5),0)</f>
        <v>992</v>
      </c>
      <c r="Z60" s="28">
        <f>IF(Z5&gt;0, (Z$30*VALORI!$B$4)+(Z$31*VALORI!$B$4)+(Z$32*VALORI!$B$3)+(Z$33*VALORI!$B$5),0)</f>
        <v>992</v>
      </c>
      <c r="AA60" s="28">
        <f>IF(AA5&gt;0, (AA$30*VALORI!$B$4)+(AA$31*VALORI!$B$4)+(AA$32*VALORI!$B$3)+(AA$33*VALORI!$B$5),0)</f>
        <v>876</v>
      </c>
      <c r="AB60" s="28">
        <f>IF(AB5&gt;0, (AB$30*VALORI!$B$4)+(AB$31*VALORI!$B$4)+(AB$32*VALORI!$B$3)+(AB$33*VALORI!$B$5),0)</f>
        <v>103</v>
      </c>
      <c r="AC60" s="28">
        <f>IF(AC5&gt;0, (AC$30*VALORI!$B$4)+(AC$31*VALORI!$B$4)+(AC$32*VALORI!$B$3)+(AC$33*VALORI!$B$5),0)</f>
        <v>794</v>
      </c>
      <c r="AD60" s="28">
        <f>IF(AD5&gt;0, (AD$30*VALORI!$B$4)+(AD$31*VALORI!$B$4)+(AD$32*VALORI!$B$3)+(AD$33*VALORI!$B$5),0)</f>
        <v>2354</v>
      </c>
      <c r="AE60" s="28">
        <f>IF(AE5&gt;0, (AE$30*VALORI!$B$4)+(AE$31*VALORI!$B$4)+(AE$32*VALORI!$B$3)+(AE$33*VALORI!$B$5),0)</f>
        <v>1268</v>
      </c>
      <c r="AF60" s="28">
        <f>IF(AF5&gt;0, (AF$30*VALORI!$B$4)+(AF$31*VALORI!$B$4)+(AF$32*VALORI!$B$3)+(AF$33*VALORI!$B$5),0)</f>
        <v>1123</v>
      </c>
      <c r="AG60" s="28">
        <f>IF(AG5&gt;0, (AG$30*VALORI!$B$4)+(AG$31*VALORI!$B$4)+(AG$32*VALORI!$B$3)+(AG$33*VALORI!$B$5),0)</f>
        <v>1123</v>
      </c>
      <c r="AH60" s="28">
        <f>IF(AH5&gt;0, (AH$30*VALORI!$B$4)+(AH$31*VALORI!$B$4)+(AH$32*VALORI!$B$3)+(AH$33*VALORI!$B$5),0)</f>
        <v>0</v>
      </c>
      <c r="AI60" s="28">
        <f>IF(AI5&gt;0, (AI$30*VALORI!$B$4)+(AI$31*VALORI!$B$4)+(AI$32*VALORI!$B$3)+(AI$33*VALORI!$B$5),0)</f>
        <v>0</v>
      </c>
      <c r="AJ60" s="28">
        <f>IF(AJ5&gt;0, (AJ$30*VALORI!$B$4)+(AJ$31*VALORI!$B$4)+(AJ$32*VALORI!$B$3)+(AJ$33*VALORI!$B$5),0)</f>
        <v>0</v>
      </c>
      <c r="AK60" s="28">
        <f>IF(AK5&gt;0, (AK$30*VALORI!$B$4)+(AK$31*VALORI!$B$4)+(AK$32*VALORI!$B$3)+(AK$33*VALORI!$B$5),0)</f>
        <v>0</v>
      </c>
      <c r="AL60" s="28">
        <f>IF(AL5&gt;0, (AL$30*VALORI!$B$4)+(AL$31*VALORI!$B$4)+(AL$32*VALORI!$B$3)+(AL$33*VALORI!$B$5),0)</f>
        <v>642</v>
      </c>
      <c r="AM60" s="28">
        <f>IF(AM5&gt;0, (AM$30*VALORI!$B$4)+(AM$31*VALORI!$B$4)+(AM$32*VALORI!$B$3)+(AM$33*VALORI!$B$5),0)</f>
        <v>0</v>
      </c>
      <c r="AN60" s="28">
        <f>IF(AN5&gt;0, (AN$30*VALORI!$B$4)+(AN$31*VALORI!$B$4)+(AN$32*VALORI!$B$3)+(AN$33*VALORI!$B$5),0)</f>
        <v>0</v>
      </c>
      <c r="AO60" s="28">
        <f>IF(AO5&gt;0, (AO$30*VALORI!$B$4)+(AO$31*VALORI!$B$4)+(AO$32*VALORI!$B$3)+(AO$33*VALORI!$B$5),0)</f>
        <v>0</v>
      </c>
      <c r="AQ60" s="28">
        <f>IF(AQ5&gt;0, (AQ$30*VALORI!$B$4)+(AQ$31*VALORI!$B$4)+(AQ$32*VALORI!$B$3)+(AQ$33*VALORI!$B$5),0)</f>
        <v>0</v>
      </c>
      <c r="AR60" s="28">
        <f>IF(AR5&gt;0, (AR$30*VALORI!$B$4)+(AR$31*VALORI!$B$4)+(AR$32*VALORI!$B$3)+(AR$33*VALORI!$B$5),0)</f>
        <v>0</v>
      </c>
      <c r="AS60" s="28">
        <f>IF(AS5&gt;0, (AS$30*VALORI!$B$4)+(AS$31*VALORI!$B$4)+(AS$32*VALORI!$B$3)+(AS$33*VALORI!$B$5),0)</f>
        <v>0</v>
      </c>
      <c r="AT60" s="28">
        <f>IF(AT5&gt;0, (AT$30*VALORI!$B$4)+(AT$31*VALORI!$B$4)+(AT$32*VALORI!$B$3)+(AT$33*VALORI!$B$5),0)</f>
        <v>0</v>
      </c>
    </row>
    <row r="61" spans="23:46" ht="15.75" x14ac:dyDescent="0.25">
      <c r="W61" s="28">
        <f>IF(W6&gt;0, (W$30*VALORI!$B$4)+(W$31*VALORI!$B$4)+(W$32*VALORI!$B$3)+(W$33*VALORI!$B$5),0)</f>
        <v>1240</v>
      </c>
      <c r="X61" s="28">
        <f>IF(X6&gt;0, (X$30*VALORI!$B$4)+(X$31*VALORI!$B$4)+(X$32*VALORI!$B$3)+(X$33*VALORI!$B$5),0)</f>
        <v>3720</v>
      </c>
      <c r="Y61" s="28">
        <f>IF(Y6&gt;0, (Y$30*VALORI!$B$4)+(Y$31*VALORI!$B$4)+(Y$32*VALORI!$B$3)+(Y$33*VALORI!$B$5),0)</f>
        <v>992</v>
      </c>
      <c r="Z61" s="28">
        <f>IF(Z6&gt;0, (Z$30*VALORI!$B$4)+(Z$31*VALORI!$B$4)+(Z$32*VALORI!$B$3)+(Z$33*VALORI!$B$5),0)</f>
        <v>992</v>
      </c>
      <c r="AA61" s="28">
        <f>IF(AA6&gt;0, (AA$30*VALORI!$B$4)+(AA$31*VALORI!$B$4)+(AA$32*VALORI!$B$3)+(AA$33*VALORI!$B$5),0)</f>
        <v>876</v>
      </c>
      <c r="AB61" s="28">
        <f>IF(AB6&gt;0, (AB$30*VALORI!$B$4)+(AB$31*VALORI!$B$4)+(AB$32*VALORI!$B$3)+(AB$33*VALORI!$B$5),0)</f>
        <v>103</v>
      </c>
      <c r="AC61" s="28">
        <f>IF(AC6&gt;0, (AC$30*VALORI!$B$4)+(AC$31*VALORI!$B$4)+(AC$32*VALORI!$B$3)+(AC$33*VALORI!$B$5),0)</f>
        <v>794</v>
      </c>
      <c r="AD61" s="28">
        <f>IF(AD6&gt;0, (AD$30*VALORI!$B$4)+(AD$31*VALORI!$B$4)+(AD$32*VALORI!$B$3)+(AD$33*VALORI!$B$5),0)</f>
        <v>2354</v>
      </c>
      <c r="AE61" s="28">
        <f>IF(AE6&gt;0, (AE$30*VALORI!$B$4)+(AE$31*VALORI!$B$4)+(AE$32*VALORI!$B$3)+(AE$33*VALORI!$B$5),0)</f>
        <v>1268</v>
      </c>
      <c r="AF61" s="28">
        <f>IF(AF6&gt;0, (AF$30*VALORI!$B$4)+(AF$31*VALORI!$B$4)+(AF$32*VALORI!$B$3)+(AF$33*VALORI!$B$5),0)</f>
        <v>1123</v>
      </c>
      <c r="AG61" s="28">
        <f>IF(AG6&gt;0, (AG$30*VALORI!$B$4)+(AG$31*VALORI!$B$4)+(AG$32*VALORI!$B$3)+(AG$33*VALORI!$B$5),0)</f>
        <v>1123</v>
      </c>
      <c r="AH61" s="28">
        <f>IF(AH6&gt;0, (AH$30*VALORI!$B$4)+(AH$31*VALORI!$B$4)+(AH$32*VALORI!$B$3)+(AH$33*VALORI!$B$5),0)</f>
        <v>0</v>
      </c>
      <c r="AI61" s="28">
        <f>IF(AI6&gt;0, (AI$30*VALORI!$B$4)+(AI$31*VALORI!$B$4)+(AI$32*VALORI!$B$3)+(AI$33*VALORI!$B$5),0)</f>
        <v>0</v>
      </c>
      <c r="AJ61" s="28">
        <f>IF(AJ6&gt;0, (AJ$30*VALORI!$B$4)+(AJ$31*VALORI!$B$4)+(AJ$32*VALORI!$B$3)+(AJ$33*VALORI!$B$5),0)</f>
        <v>0</v>
      </c>
      <c r="AK61" s="28">
        <f>IF(AK6&gt;0, (AK$30*VALORI!$B$4)+(AK$31*VALORI!$B$4)+(AK$32*VALORI!$B$3)+(AK$33*VALORI!$B$5),0)</f>
        <v>0</v>
      </c>
      <c r="AL61" s="28">
        <f>IF(AL6&gt;0, (AL$30*VALORI!$B$4)+(AL$31*VALORI!$B$4)+(AL$32*VALORI!$B$3)+(AL$33*VALORI!$B$5),0)</f>
        <v>642</v>
      </c>
      <c r="AM61" s="28">
        <f>IF(AM6&gt;0, (AM$30*VALORI!$B$4)+(AM$31*VALORI!$B$4)+(AM$32*VALORI!$B$3)+(AM$33*VALORI!$B$5),0)</f>
        <v>0</v>
      </c>
      <c r="AN61" s="28">
        <f>IF(AN6&gt;0, (AN$30*VALORI!$B$4)+(AN$31*VALORI!$B$4)+(AN$32*VALORI!$B$3)+(AN$33*VALORI!$B$5),0)</f>
        <v>0</v>
      </c>
      <c r="AO61" s="28">
        <f>IF(AO6&gt;0, (AO$30*VALORI!$B$4)+(AO$31*VALORI!$B$4)+(AO$32*VALORI!$B$3)+(AO$33*VALORI!$B$5),0)</f>
        <v>0</v>
      </c>
      <c r="AQ61" s="28">
        <f>IF(AQ6&gt;0, (AQ$30*VALORI!$B$4)+(AQ$31*VALORI!$B$4)+(AQ$32*VALORI!$B$3)+(AQ$33*VALORI!$B$5),0)</f>
        <v>0</v>
      </c>
      <c r="AR61" s="28">
        <f>IF(AR6&gt;0, (AR$30*VALORI!$B$4)+(AR$31*VALORI!$B$4)+(AR$32*VALORI!$B$3)+(AR$33*VALORI!$B$5),0)</f>
        <v>0</v>
      </c>
      <c r="AS61" s="28">
        <f>IF(AS6&gt;0, (AS$30*VALORI!$B$4)+(AS$31*VALORI!$B$4)+(AS$32*VALORI!$B$3)+(AS$33*VALORI!$B$5),0)</f>
        <v>0</v>
      </c>
      <c r="AT61" s="28">
        <f>IF(AT6&gt;0, (AT$30*VALORI!$B$4)+(AT$31*VALORI!$B$4)+(AT$32*VALORI!$B$3)+(AT$33*VALORI!$B$5),0)</f>
        <v>0</v>
      </c>
    </row>
    <row r="62" spans="23:46" ht="15.75" x14ac:dyDescent="0.25">
      <c r="W62" s="28">
        <f>IF(W7&gt;0, (W$30*VALORI!$B$4)+(W$31*VALORI!$B$4)+(W$32*VALORI!$B$3)+(W$33*VALORI!$B$5),0)</f>
        <v>0</v>
      </c>
      <c r="X62" s="28">
        <f>IF(X7&gt;0, (X$30*VALORI!$B$4)+(X$31*VALORI!$B$4)+(X$32*VALORI!$B$3)+(X$33*VALORI!$B$5),0)</f>
        <v>0</v>
      </c>
      <c r="Y62" s="28">
        <f>IF(Y7&gt;0, (Y$30*VALORI!$B$4)+(Y$31*VALORI!$B$4)+(Y$32*VALORI!$B$3)+(Y$33*VALORI!$B$5),0)</f>
        <v>0</v>
      </c>
      <c r="Z62" s="28">
        <f>IF(Z7&gt;0, (Z$30*VALORI!$B$4)+(Z$31*VALORI!$B$4)+(Z$32*VALORI!$B$3)+(Z$33*VALORI!$B$5),0)</f>
        <v>0</v>
      </c>
      <c r="AA62" s="28">
        <f>IF(AA7&gt;0, (AA$30*VALORI!$B$4)+(AA$31*VALORI!$B$4)+(AA$32*VALORI!$B$3)+(AA$33*VALORI!$B$5),0)</f>
        <v>0</v>
      </c>
      <c r="AB62" s="28">
        <f>IF(AB7&gt;0, (AB$30*VALORI!$B$4)+(AB$31*VALORI!$B$4)+(AB$32*VALORI!$B$3)+(AB$33*VALORI!$B$5),0)</f>
        <v>0</v>
      </c>
      <c r="AC62" s="28">
        <f>IF(AC7&gt;0, (AC$30*VALORI!$B$4)+(AC$31*VALORI!$B$4)+(AC$32*VALORI!$B$3)+(AC$33*VALORI!$B$5),0)</f>
        <v>0</v>
      </c>
      <c r="AD62" s="28">
        <f>IF(AD7&gt;0, (AD$30*VALORI!$B$4)+(AD$31*VALORI!$B$4)+(AD$32*VALORI!$B$3)+(AD$33*VALORI!$B$5),0)</f>
        <v>0</v>
      </c>
      <c r="AE62" s="28">
        <f>IF(AE7&gt;0, (AE$30*VALORI!$B$4)+(AE$31*VALORI!$B$4)+(AE$32*VALORI!$B$3)+(AE$33*VALORI!$B$5),0)</f>
        <v>0</v>
      </c>
      <c r="AF62" s="28">
        <f>IF(AF7&gt;0, (AF$30*VALORI!$B$4)+(AF$31*VALORI!$B$4)+(AF$32*VALORI!$B$3)+(AF$33*VALORI!$B$5),0)</f>
        <v>0</v>
      </c>
      <c r="AG62" s="28">
        <f>IF(AG7&gt;0, (AG$30*VALORI!$B$4)+(AG$31*VALORI!$B$4)+(AG$32*VALORI!$B$3)+(AG$33*VALORI!$B$5),0)</f>
        <v>0</v>
      </c>
      <c r="AH62" s="28">
        <f>IF(AH7&gt;0, (AH$30*VALORI!$B$4)+(AH$31*VALORI!$B$4)+(AH$32*VALORI!$B$3)+(AH$33*VALORI!$B$5),0)</f>
        <v>0</v>
      </c>
      <c r="AI62" s="28">
        <f>IF(AI7&gt;0, (AI$30*VALORI!$B$4)+(AI$31*VALORI!$B$4)+(AI$32*VALORI!$B$3)+(AI$33*VALORI!$B$5),0)</f>
        <v>0</v>
      </c>
      <c r="AJ62" s="28">
        <f>IF(AJ7&gt;0, (AJ$30*VALORI!$B$4)+(AJ$31*VALORI!$B$4)+(AJ$32*VALORI!$B$3)+(AJ$33*VALORI!$B$5),0)</f>
        <v>0</v>
      </c>
      <c r="AK62" s="28">
        <f>IF(AK7&gt;0, (AK$30*VALORI!$B$4)+(AK$31*VALORI!$B$4)+(AK$32*VALORI!$B$3)+(AK$33*VALORI!$B$5),0)</f>
        <v>0</v>
      </c>
      <c r="AL62" s="28">
        <f>IF(AL7&gt;0, (AL$30*VALORI!$B$4)+(AL$31*VALORI!$B$4)+(AL$32*VALORI!$B$3)+(AL$33*VALORI!$B$5),0)</f>
        <v>0</v>
      </c>
      <c r="AM62" s="28">
        <f>IF(AM7&gt;0, (AM$30*VALORI!$B$4)+(AM$31*VALORI!$B$4)+(AM$32*VALORI!$B$3)+(AM$33*VALORI!$B$5),0)</f>
        <v>0</v>
      </c>
      <c r="AN62" s="28">
        <f>IF(AN7&gt;0, (AN$30*VALORI!$B$4)+(AN$31*VALORI!$B$4)+(AN$32*VALORI!$B$3)+(AN$33*VALORI!$B$5),0)</f>
        <v>0</v>
      </c>
      <c r="AO62" s="28">
        <f>IF(AO7&gt;0, (AO$30*VALORI!$B$4)+(AO$31*VALORI!$B$4)+(AO$32*VALORI!$B$3)+(AO$33*VALORI!$B$5),0)</f>
        <v>0</v>
      </c>
      <c r="AQ62" s="28">
        <f>IF(AQ7&gt;0, (AQ$30*VALORI!$B$4)+(AQ$31*VALORI!$B$4)+(AQ$32*VALORI!$B$3)+(AQ$33*VALORI!$B$5),0)</f>
        <v>0</v>
      </c>
      <c r="AR62" s="28">
        <f>IF(AR7&gt;0, (AR$30*VALORI!$B$4)+(AR$31*VALORI!$B$4)+(AR$32*VALORI!$B$3)+(AR$33*VALORI!$B$5),0)</f>
        <v>0</v>
      </c>
      <c r="AS62" s="28">
        <f>IF(AS7&gt;0, (AS$30*VALORI!$B$4)+(AS$31*VALORI!$B$4)+(AS$32*VALORI!$B$3)+(AS$33*VALORI!$B$5),0)</f>
        <v>0</v>
      </c>
      <c r="AT62" s="28">
        <f>IF(AT7&gt;0, (AT$30*VALORI!$B$4)+(AT$31*VALORI!$B$4)+(AT$32*VALORI!$B$3)+(AT$33*VALORI!$B$5),0)</f>
        <v>0</v>
      </c>
    </row>
    <row r="63" spans="23:46" ht="15.75" x14ac:dyDescent="0.25">
      <c r="W63" s="28">
        <f>IF(W8&gt;0, (W$30*VALORI!$B$4)+(W$31*VALORI!$B$4)+(W$32*VALORI!$B$3)+(W$33*VALORI!$B$5),0)</f>
        <v>0</v>
      </c>
      <c r="X63" s="28">
        <f>IF(X8&gt;0, (X$30*VALORI!$B$4)+(X$31*VALORI!$B$4)+(X$32*VALORI!$B$3)+(X$33*VALORI!$B$5),0)</f>
        <v>0</v>
      </c>
      <c r="Y63" s="28">
        <f>IF(Y8&gt;0, (Y$30*VALORI!$B$4)+(Y$31*VALORI!$B$4)+(Y$32*VALORI!$B$3)+(Y$33*VALORI!$B$5),0)</f>
        <v>0</v>
      </c>
      <c r="Z63" s="28">
        <f>IF(Z8&gt;0, (Z$30*VALORI!$B$4)+(Z$31*VALORI!$B$4)+(Z$32*VALORI!$B$3)+(Z$33*VALORI!$B$5),0)</f>
        <v>0</v>
      </c>
      <c r="AA63" s="28">
        <f>IF(AA8&gt;0, (AA$30*VALORI!$B$4)+(AA$31*VALORI!$B$4)+(AA$32*VALORI!$B$3)+(AA$33*VALORI!$B$5),0)</f>
        <v>0</v>
      </c>
      <c r="AB63" s="28">
        <f>IF(AB8&gt;0, (AB$30*VALORI!$B$4)+(AB$31*VALORI!$B$4)+(AB$32*VALORI!$B$3)+(AB$33*VALORI!$B$5),0)</f>
        <v>0</v>
      </c>
      <c r="AC63" s="28">
        <f>IF(AC8&gt;0, (AC$30*VALORI!$B$4)+(AC$31*VALORI!$B$4)+(AC$32*VALORI!$B$3)+(AC$33*VALORI!$B$5),0)</f>
        <v>0</v>
      </c>
      <c r="AD63" s="28">
        <f>IF(AD8&gt;0, (AD$30*VALORI!$B$4)+(AD$31*VALORI!$B$4)+(AD$32*VALORI!$B$3)+(AD$33*VALORI!$B$5),0)</f>
        <v>0</v>
      </c>
      <c r="AE63" s="28">
        <f>IF(AE8&gt;0, (AE$30*VALORI!$B$4)+(AE$31*VALORI!$B$4)+(AE$32*VALORI!$B$3)+(AE$33*VALORI!$B$5),0)</f>
        <v>0</v>
      </c>
      <c r="AF63" s="28">
        <f>IF(AF8&gt;0, (AF$30*VALORI!$B$4)+(AF$31*VALORI!$B$4)+(AF$32*VALORI!$B$3)+(AF$33*VALORI!$B$5),0)</f>
        <v>0</v>
      </c>
      <c r="AG63" s="28">
        <f>IF(AG8&gt;0, (AG$30*VALORI!$B$4)+(AG$31*VALORI!$B$4)+(AG$32*VALORI!$B$3)+(AG$33*VALORI!$B$5),0)</f>
        <v>0</v>
      </c>
      <c r="AH63" s="28">
        <f>IF(AH8&gt;0, (AH$30*VALORI!$B$4)+(AH$31*VALORI!$B$4)+(AH$32*VALORI!$B$3)+(AH$33*VALORI!$B$5),0)</f>
        <v>0</v>
      </c>
      <c r="AI63" s="28">
        <f>IF(AI8&gt;0, (AI$30*VALORI!$B$4)+(AI$31*VALORI!$B$4)+(AI$32*VALORI!$B$3)+(AI$33*VALORI!$B$5),0)</f>
        <v>0</v>
      </c>
      <c r="AJ63" s="28">
        <f>IF(AJ8&gt;0, (AJ$30*VALORI!$B$4)+(AJ$31*VALORI!$B$4)+(AJ$32*VALORI!$B$3)+(AJ$33*VALORI!$B$5),0)</f>
        <v>0</v>
      </c>
      <c r="AK63" s="28">
        <f>IF(AK8&gt;0, (AK$30*VALORI!$B$4)+(AK$31*VALORI!$B$4)+(AK$32*VALORI!$B$3)+(AK$33*VALORI!$B$5),0)</f>
        <v>0</v>
      </c>
      <c r="AL63" s="28">
        <f>IF(AL8&gt;0, (AL$30*VALORI!$B$4)+(AL$31*VALORI!$B$4)+(AL$32*VALORI!$B$3)+(AL$33*VALORI!$B$5),0)</f>
        <v>0</v>
      </c>
      <c r="AM63" s="28">
        <f>IF(AM8&gt;0, (AM$30*VALORI!$B$4)+(AM$31*VALORI!$B$4)+(AM$32*VALORI!$B$3)+(AM$33*VALORI!$B$5),0)</f>
        <v>0</v>
      </c>
      <c r="AN63" s="28">
        <f>IF(AN8&gt;0, (AN$30*VALORI!$B$4)+(AN$31*VALORI!$B$4)+(AN$32*VALORI!$B$3)+(AN$33*VALORI!$B$5),0)</f>
        <v>0</v>
      </c>
      <c r="AO63" s="28">
        <f>IF(AO8&gt;0, (AO$30*VALORI!$B$4)+(AO$31*VALORI!$B$4)+(AO$32*VALORI!$B$3)+(AO$33*VALORI!$B$5),0)</f>
        <v>0</v>
      </c>
      <c r="AQ63" s="28">
        <f>IF(AQ8&gt;0, (AQ$30*VALORI!$B$4)+(AQ$31*VALORI!$B$4)+(AQ$32*VALORI!$B$3)+(AQ$33*VALORI!$B$5),0)</f>
        <v>0</v>
      </c>
      <c r="AR63" s="28">
        <f>IF(AR8&gt;0, (AR$30*VALORI!$B$4)+(AR$31*VALORI!$B$4)+(AR$32*VALORI!$B$3)+(AR$33*VALORI!$B$5),0)</f>
        <v>0</v>
      </c>
      <c r="AS63" s="28">
        <f>IF(AS8&gt;0, (AS$30*VALORI!$B$4)+(AS$31*VALORI!$B$4)+(AS$32*VALORI!$B$3)+(AS$33*VALORI!$B$5),0)</f>
        <v>0</v>
      </c>
      <c r="AT63" s="28">
        <f>IF(AT8&gt;0, (AT$30*VALORI!$B$4)+(AT$31*VALORI!$B$4)+(AT$32*VALORI!$B$3)+(AT$33*VALORI!$B$5),0)</f>
        <v>0</v>
      </c>
    </row>
    <row r="64" spans="23:46" ht="15.75" x14ac:dyDescent="0.25">
      <c r="W64" s="28">
        <f>IF(W9&gt;0, (W$30*VALORI!$B$4)+(W$31*VALORI!$B$4)+(W$32*VALORI!$B$3)+(W$33*VALORI!$B$5),0)</f>
        <v>0</v>
      </c>
      <c r="X64" s="28">
        <f>IF(X9&gt;0, (X$30*VALORI!$B$4)+(X$31*VALORI!$B$4)+(X$32*VALORI!$B$3)+(X$33*VALORI!$B$5),0)</f>
        <v>0</v>
      </c>
      <c r="Y64" s="28">
        <f>IF(Y9&gt;0, (Y$30*VALORI!$B$4)+(Y$31*VALORI!$B$4)+(Y$32*VALORI!$B$3)+(Y$33*VALORI!$B$5),0)</f>
        <v>0</v>
      </c>
      <c r="Z64" s="28">
        <f>IF(Z9&gt;0, (Z$30*VALORI!$B$4)+(Z$31*VALORI!$B$4)+(Z$32*VALORI!$B$3)+(Z$33*VALORI!$B$5),0)</f>
        <v>0</v>
      </c>
      <c r="AA64" s="28">
        <f>IF(AA9&gt;0, (AA$30*VALORI!$B$4)+(AA$31*VALORI!$B$4)+(AA$32*VALORI!$B$3)+(AA$33*VALORI!$B$5),0)</f>
        <v>0</v>
      </c>
      <c r="AB64" s="28">
        <f>IF(AB9&gt;0, (AB$30*VALORI!$B$4)+(AB$31*VALORI!$B$4)+(AB$32*VALORI!$B$3)+(AB$33*VALORI!$B$5),0)</f>
        <v>0</v>
      </c>
      <c r="AC64" s="28">
        <f>IF(AC9&gt;0, (AC$30*VALORI!$B$4)+(AC$31*VALORI!$B$4)+(AC$32*VALORI!$B$3)+(AC$33*VALORI!$B$5),0)</f>
        <v>0</v>
      </c>
      <c r="AD64" s="28">
        <f>IF(AD9&gt;0, (AD$30*VALORI!$B$4)+(AD$31*VALORI!$B$4)+(AD$32*VALORI!$B$3)+(AD$33*VALORI!$B$5),0)</f>
        <v>0</v>
      </c>
      <c r="AE64" s="28">
        <f>IF(AE9&gt;0, (AE$30*VALORI!$B$4)+(AE$31*VALORI!$B$4)+(AE$32*VALORI!$B$3)+(AE$33*VALORI!$B$5),0)</f>
        <v>0</v>
      </c>
      <c r="AF64" s="28">
        <f>IF(AF9&gt;0, (AF$30*VALORI!$B$4)+(AF$31*VALORI!$B$4)+(AF$32*VALORI!$B$3)+(AF$33*VALORI!$B$5),0)</f>
        <v>0</v>
      </c>
      <c r="AG64" s="28">
        <f>IF(AG9&gt;0, (AG$30*VALORI!$B$4)+(AG$31*VALORI!$B$4)+(AG$32*VALORI!$B$3)+(AG$33*VALORI!$B$5),0)</f>
        <v>0</v>
      </c>
      <c r="AH64" s="28">
        <f>IF(AH9&gt;0, (AH$30*VALORI!$B$4)+(AH$31*VALORI!$B$4)+(AH$32*VALORI!$B$3)+(AH$33*VALORI!$B$5),0)</f>
        <v>0</v>
      </c>
      <c r="AI64" s="28">
        <f>IF(AI9&gt;0, (AI$30*VALORI!$B$4)+(AI$31*VALORI!$B$4)+(AI$32*VALORI!$B$3)+(AI$33*VALORI!$B$5),0)</f>
        <v>0</v>
      </c>
      <c r="AJ64" s="28">
        <f>IF(AJ9&gt;0, (AJ$30*VALORI!$B$4)+(AJ$31*VALORI!$B$4)+(AJ$32*VALORI!$B$3)+(AJ$33*VALORI!$B$5),0)</f>
        <v>0</v>
      </c>
      <c r="AK64" s="28">
        <f>IF(AK9&gt;0, (AK$30*VALORI!$B$4)+(AK$31*VALORI!$B$4)+(AK$32*VALORI!$B$3)+(AK$33*VALORI!$B$5),0)</f>
        <v>0</v>
      </c>
      <c r="AL64" s="28">
        <f>IF(AL9&gt;0, (AL$30*VALORI!$B$4)+(AL$31*VALORI!$B$4)+(AL$32*VALORI!$B$3)+(AL$33*VALORI!$B$5),0)</f>
        <v>0</v>
      </c>
      <c r="AM64" s="28">
        <f>IF(AM9&gt;0, (AM$30*VALORI!$B$4)+(AM$31*VALORI!$B$4)+(AM$32*VALORI!$B$3)+(AM$33*VALORI!$B$5),0)</f>
        <v>0</v>
      </c>
      <c r="AN64" s="28">
        <f>IF(AN9&gt;0, (AN$30*VALORI!$B$4)+(AN$31*VALORI!$B$4)+(AN$32*VALORI!$B$3)+(AN$33*VALORI!$B$5),0)</f>
        <v>0</v>
      </c>
      <c r="AO64" s="28">
        <f>IF(AO9&gt;0, (AO$30*VALORI!$B$4)+(AO$31*VALORI!$B$4)+(AO$32*VALORI!$B$3)+(AO$33*VALORI!$B$5),0)</f>
        <v>0</v>
      </c>
      <c r="AQ64" s="28">
        <f>IF(AQ9&gt;0, (AQ$30*VALORI!$B$4)+(AQ$31*VALORI!$B$4)+(AQ$32*VALORI!$B$3)+(AQ$33*VALORI!$B$5),0)</f>
        <v>0</v>
      </c>
      <c r="AR64" s="28">
        <f>IF(AR9&gt;0, (AR$30*VALORI!$B$4)+(AR$31*VALORI!$B$4)+(AR$32*VALORI!$B$3)+(AR$33*VALORI!$B$5),0)</f>
        <v>0</v>
      </c>
      <c r="AS64" s="28">
        <f>IF(AS9&gt;0, (AS$30*VALORI!$B$4)+(AS$31*VALORI!$B$4)+(AS$32*VALORI!$B$3)+(AS$33*VALORI!$B$5),0)</f>
        <v>0</v>
      </c>
      <c r="AT64" s="28">
        <f>IF(AT9&gt;0, (AT$30*VALORI!$B$4)+(AT$31*VALORI!$B$4)+(AT$32*VALORI!$B$3)+(AT$33*VALORI!$B$5),0)</f>
        <v>0</v>
      </c>
    </row>
    <row r="65" spans="23:46" ht="15.75" x14ac:dyDescent="0.25">
      <c r="W65" s="28">
        <f>IF(W10&gt;0, (W$30*VALORI!$B$4)+(W$31*VALORI!$B$4)+(W$32*VALORI!$B$3)+(W$33*VALORI!$B$5),0)</f>
        <v>0</v>
      </c>
      <c r="X65" s="28">
        <f>IF(X10&gt;0, (X$30*VALORI!$B$4)+(X$31*VALORI!$B$4)+(X$32*VALORI!$B$3)+(X$33*VALORI!$B$5),0)</f>
        <v>0</v>
      </c>
      <c r="Y65" s="28">
        <f>IF(Y10&gt;0, (Y$30*VALORI!$B$4)+(Y$31*VALORI!$B$4)+(Y$32*VALORI!$B$3)+(Y$33*VALORI!$B$5),0)</f>
        <v>0</v>
      </c>
      <c r="Z65" s="28">
        <f>IF(Z10&gt;0, (Z$30*VALORI!$B$4)+(Z$31*VALORI!$B$4)+(Z$32*VALORI!$B$3)+(Z$33*VALORI!$B$5),0)</f>
        <v>0</v>
      </c>
      <c r="AA65" s="28">
        <f>IF(AA10&gt;0, (AA$30*VALORI!$B$4)+(AA$31*VALORI!$B$4)+(AA$32*VALORI!$B$3)+(AA$33*VALORI!$B$5),0)</f>
        <v>0</v>
      </c>
      <c r="AB65" s="28">
        <f>IF(AB10&gt;0, (AB$30*VALORI!$B$4)+(AB$31*VALORI!$B$4)+(AB$32*VALORI!$B$3)+(AB$33*VALORI!$B$5),0)</f>
        <v>0</v>
      </c>
      <c r="AC65" s="28">
        <f>IF(AC10&gt;0, (AC$30*VALORI!$B$4)+(AC$31*VALORI!$B$4)+(AC$32*VALORI!$B$3)+(AC$33*VALORI!$B$5),0)</f>
        <v>0</v>
      </c>
      <c r="AD65" s="28">
        <f>IF(AD10&gt;0, (AD$30*VALORI!$B$4)+(AD$31*VALORI!$B$4)+(AD$32*VALORI!$B$3)+(AD$33*VALORI!$B$5),0)</f>
        <v>0</v>
      </c>
      <c r="AE65" s="28">
        <f>IF(AE10&gt;0, (AE$30*VALORI!$B$4)+(AE$31*VALORI!$B$4)+(AE$32*VALORI!$B$3)+(AE$33*VALORI!$B$5),0)</f>
        <v>0</v>
      </c>
      <c r="AF65" s="28">
        <f>IF(AF10&gt;0, (AF$30*VALORI!$B$4)+(AF$31*VALORI!$B$4)+(AF$32*VALORI!$B$3)+(AF$33*VALORI!$B$5),0)</f>
        <v>0</v>
      </c>
      <c r="AG65" s="28">
        <f>IF(AG10&gt;0, (AG$30*VALORI!$B$4)+(AG$31*VALORI!$B$4)+(AG$32*VALORI!$B$3)+(AG$33*VALORI!$B$5),0)</f>
        <v>0</v>
      </c>
      <c r="AH65" s="28">
        <f>IF(AH10&gt;0, (AH$30*VALORI!$B$4)+(AH$31*VALORI!$B$4)+(AH$32*VALORI!$B$3)+(AH$33*VALORI!$B$5),0)</f>
        <v>0</v>
      </c>
      <c r="AI65" s="28">
        <f>IF(AI10&gt;0, (AI$30*VALORI!$B$4)+(AI$31*VALORI!$B$4)+(AI$32*VALORI!$B$3)+(AI$33*VALORI!$B$5),0)</f>
        <v>0</v>
      </c>
      <c r="AJ65" s="28">
        <f>IF(AJ10&gt;0, (AJ$30*VALORI!$B$4)+(AJ$31*VALORI!$B$4)+(AJ$32*VALORI!$B$3)+(AJ$33*VALORI!$B$5),0)</f>
        <v>0</v>
      </c>
      <c r="AK65" s="28">
        <f>IF(AK10&gt;0, (AK$30*VALORI!$B$4)+(AK$31*VALORI!$B$4)+(AK$32*VALORI!$B$3)+(AK$33*VALORI!$B$5),0)</f>
        <v>0</v>
      </c>
      <c r="AL65" s="28">
        <f>IF(AL10&gt;0, (AL$30*VALORI!$B$4)+(AL$31*VALORI!$B$4)+(AL$32*VALORI!$B$3)+(AL$33*VALORI!$B$5),0)</f>
        <v>0</v>
      </c>
      <c r="AM65" s="28">
        <f>IF(AM10&gt;0, (AM$30*VALORI!$B$4)+(AM$31*VALORI!$B$4)+(AM$32*VALORI!$B$3)+(AM$33*VALORI!$B$5),0)</f>
        <v>0</v>
      </c>
      <c r="AN65" s="28">
        <f>IF(AN10&gt;0, (AN$30*VALORI!$B$4)+(AN$31*VALORI!$B$4)+(AN$32*VALORI!$B$3)+(AN$33*VALORI!$B$5),0)</f>
        <v>0</v>
      </c>
      <c r="AO65" s="28">
        <f>IF(AO10&gt;0, (AO$30*VALORI!$B$4)+(AO$31*VALORI!$B$4)+(AO$32*VALORI!$B$3)+(AO$33*VALORI!$B$5),0)</f>
        <v>0</v>
      </c>
      <c r="AQ65" s="28">
        <f>IF(AQ10&gt;0, (AQ$30*VALORI!$B$4)+(AQ$31*VALORI!$B$4)+(AQ$32*VALORI!$B$3)+(AQ$33*VALORI!$B$5),0)</f>
        <v>0</v>
      </c>
      <c r="AR65" s="28">
        <f>IF(AR10&gt;0, (AR$30*VALORI!$B$4)+(AR$31*VALORI!$B$4)+(AR$32*VALORI!$B$3)+(AR$33*VALORI!$B$5),0)</f>
        <v>0</v>
      </c>
      <c r="AS65" s="28">
        <f>IF(AS10&gt;0, (AS$30*VALORI!$B$4)+(AS$31*VALORI!$B$4)+(AS$32*VALORI!$B$3)+(AS$33*VALORI!$B$5),0)</f>
        <v>0</v>
      </c>
      <c r="AT65" s="28">
        <f>IF(AT10&gt;0, (AT$30*VALORI!$B$4)+(AT$31*VALORI!$B$4)+(AT$32*VALORI!$B$3)+(AT$33*VALORI!$B$5),0)</f>
        <v>0</v>
      </c>
    </row>
    <row r="66" spans="23:46" ht="15.75" x14ac:dyDescent="0.25">
      <c r="W66" s="28">
        <f>IF(W11&gt;0, (W$30*VALORI!$B$4)+(W$31*VALORI!$B$4)+(W$32*VALORI!$B$3)+(W$33*VALORI!$B$5),0)</f>
        <v>0</v>
      </c>
      <c r="X66" s="28">
        <f>IF(X11&gt;0, (X$30*VALORI!$B$4)+(X$31*VALORI!$B$4)+(X$32*VALORI!$B$3)+(X$33*VALORI!$B$5),0)</f>
        <v>0</v>
      </c>
      <c r="Y66" s="28">
        <f>IF(Y11&gt;0, (Y$30*VALORI!$B$4)+(Y$31*VALORI!$B$4)+(Y$32*VALORI!$B$3)+(Y$33*VALORI!$B$5),0)</f>
        <v>0</v>
      </c>
      <c r="Z66" s="28">
        <f>IF(Z11&gt;0, (Z$30*VALORI!$B$4)+(Z$31*VALORI!$B$4)+(Z$32*VALORI!$B$3)+(Z$33*VALORI!$B$5),0)</f>
        <v>0</v>
      </c>
      <c r="AA66" s="28">
        <f>IF(AA11&gt;0, (AA$30*VALORI!$B$4)+(AA$31*VALORI!$B$4)+(AA$32*VALORI!$B$3)+(AA$33*VALORI!$B$5),0)</f>
        <v>0</v>
      </c>
      <c r="AB66" s="28">
        <f>IF(AB11&gt;0, (AB$30*VALORI!$B$4)+(AB$31*VALORI!$B$4)+(AB$32*VALORI!$B$3)+(AB$33*VALORI!$B$5),0)</f>
        <v>0</v>
      </c>
      <c r="AC66" s="28">
        <f>IF(AC11&gt;0, (AC$30*VALORI!$B$4)+(AC$31*VALORI!$B$4)+(AC$32*VALORI!$B$3)+(AC$33*VALORI!$B$5),0)</f>
        <v>0</v>
      </c>
      <c r="AD66" s="28">
        <f>IF(AD11&gt;0, (AD$30*VALORI!$B$4)+(AD$31*VALORI!$B$4)+(AD$32*VALORI!$B$3)+(AD$33*VALORI!$B$5),0)</f>
        <v>0</v>
      </c>
      <c r="AE66" s="28">
        <f>IF(AE11&gt;0, (AE$30*VALORI!$B$4)+(AE$31*VALORI!$B$4)+(AE$32*VALORI!$B$3)+(AE$33*VALORI!$B$5),0)</f>
        <v>0</v>
      </c>
      <c r="AF66" s="28">
        <f>IF(AF11&gt;0, (AF$30*VALORI!$B$4)+(AF$31*VALORI!$B$4)+(AF$32*VALORI!$B$3)+(AF$33*VALORI!$B$5),0)</f>
        <v>0</v>
      </c>
      <c r="AG66" s="28">
        <f>IF(AG11&gt;0, (AG$30*VALORI!$B$4)+(AG$31*VALORI!$B$4)+(AG$32*VALORI!$B$3)+(AG$33*VALORI!$B$5),0)</f>
        <v>0</v>
      </c>
      <c r="AH66" s="28">
        <f>IF(AH11&gt;0, (AH$30*VALORI!$B$4)+(AH$31*VALORI!$B$4)+(AH$32*VALORI!$B$3)+(AH$33*VALORI!$B$5),0)</f>
        <v>0</v>
      </c>
      <c r="AI66" s="28">
        <f>IF(AI11&gt;0, (AI$30*VALORI!$B$4)+(AI$31*VALORI!$B$4)+(AI$32*VALORI!$B$3)+(AI$33*VALORI!$B$5),0)</f>
        <v>0</v>
      </c>
      <c r="AJ66" s="28">
        <f>IF(AJ11&gt;0, (AJ$30*VALORI!$B$4)+(AJ$31*VALORI!$B$4)+(AJ$32*VALORI!$B$3)+(AJ$33*VALORI!$B$5),0)</f>
        <v>0</v>
      </c>
      <c r="AK66" s="28">
        <f>IF(AK11&gt;0, (AK$30*VALORI!$B$4)+(AK$31*VALORI!$B$4)+(AK$32*VALORI!$B$3)+(AK$33*VALORI!$B$5),0)</f>
        <v>0</v>
      </c>
      <c r="AL66" s="28">
        <f>IF(AL11&gt;0, (AL$30*VALORI!$B$4)+(AL$31*VALORI!$B$4)+(AL$32*VALORI!$B$3)+(AL$33*VALORI!$B$5),0)</f>
        <v>0</v>
      </c>
      <c r="AM66" s="28">
        <f>IF(AM11&gt;0, (AM$30*VALORI!$B$4)+(AM$31*VALORI!$B$4)+(AM$32*VALORI!$B$3)+(AM$33*VALORI!$B$5),0)</f>
        <v>0</v>
      </c>
      <c r="AN66" s="28">
        <f>IF(AN11&gt;0, (AN$30*VALORI!$B$4)+(AN$31*VALORI!$B$4)+(AN$32*VALORI!$B$3)+(AN$33*VALORI!$B$5),0)</f>
        <v>0</v>
      </c>
      <c r="AO66" s="28">
        <f>IF(AO11&gt;0, (AO$30*VALORI!$B$4)+(AO$31*VALORI!$B$4)+(AO$32*VALORI!$B$3)+(AO$33*VALORI!$B$5),0)</f>
        <v>0</v>
      </c>
      <c r="AQ66" s="28">
        <f>IF(AQ11&gt;0, (AQ$30*VALORI!$B$4)+(AQ$31*VALORI!$B$4)+(AQ$32*VALORI!$B$3)+(AQ$33*VALORI!$B$5),0)</f>
        <v>0</v>
      </c>
      <c r="AR66" s="28">
        <f>IF(AR11&gt;0, (AR$30*VALORI!$B$4)+(AR$31*VALORI!$B$4)+(AR$32*VALORI!$B$3)+(AR$33*VALORI!$B$5),0)</f>
        <v>0</v>
      </c>
      <c r="AS66" s="28">
        <f>IF(AS11&gt;0, (AS$30*VALORI!$B$4)+(AS$31*VALORI!$B$4)+(AS$32*VALORI!$B$3)+(AS$33*VALORI!$B$5),0)</f>
        <v>0</v>
      </c>
      <c r="AT66" s="28">
        <f>IF(AT11&gt;0, (AT$30*VALORI!$B$4)+(AT$31*VALORI!$B$4)+(AT$32*VALORI!$B$3)+(AT$33*VALORI!$B$5),0)</f>
        <v>0</v>
      </c>
    </row>
    <row r="67" spans="23:46" ht="15.75" x14ac:dyDescent="0.25">
      <c r="W67" s="28">
        <f>IF(W12&gt;0, (W$30*VALORI!$B$4)+(W$31*VALORI!$B$4)+(W$32*VALORI!$B$3)+(W$33*VALORI!$B$5),0)</f>
        <v>0</v>
      </c>
      <c r="X67" s="28">
        <f>IF(X12&gt;0, (X$30*VALORI!$B$4)+(X$31*VALORI!$B$4)+(X$32*VALORI!$B$3)+(X$33*VALORI!$B$5),0)</f>
        <v>0</v>
      </c>
      <c r="Y67" s="28">
        <f>IF(Y12&gt;0, (Y$30*VALORI!$B$4)+(Y$31*VALORI!$B$4)+(Y$32*VALORI!$B$3)+(Y$33*VALORI!$B$5),0)</f>
        <v>0</v>
      </c>
      <c r="Z67" s="28">
        <f>IF(Z12&gt;0, (Z$30*VALORI!$B$4)+(Z$31*VALORI!$B$4)+(Z$32*VALORI!$B$3)+(Z$33*VALORI!$B$5),0)</f>
        <v>0</v>
      </c>
      <c r="AA67" s="28">
        <f>IF(AA12&gt;0, (AA$30*VALORI!$B$4)+(AA$31*VALORI!$B$4)+(AA$32*VALORI!$B$3)+(AA$33*VALORI!$B$5),0)</f>
        <v>0</v>
      </c>
      <c r="AB67" s="28">
        <f>IF(AB12&gt;0, (AB$30*VALORI!$B$4)+(AB$31*VALORI!$B$4)+(AB$32*VALORI!$B$3)+(AB$33*VALORI!$B$5),0)</f>
        <v>0</v>
      </c>
      <c r="AC67" s="28">
        <f>IF(AC12&gt;0, (AC$30*VALORI!$B$4)+(AC$31*VALORI!$B$4)+(AC$32*VALORI!$B$3)+(AC$33*VALORI!$B$5),0)</f>
        <v>0</v>
      </c>
      <c r="AD67" s="28">
        <f>IF(AD12&gt;0, (AD$30*VALORI!$B$4)+(AD$31*VALORI!$B$4)+(AD$32*VALORI!$B$3)+(AD$33*VALORI!$B$5),0)</f>
        <v>0</v>
      </c>
      <c r="AE67" s="28">
        <f>IF(AE12&gt;0, (AE$30*VALORI!$B$4)+(AE$31*VALORI!$B$4)+(AE$32*VALORI!$B$3)+(AE$33*VALORI!$B$5),0)</f>
        <v>0</v>
      </c>
      <c r="AF67" s="28">
        <f>IF(AF12&gt;0, (AF$30*VALORI!$B$4)+(AF$31*VALORI!$B$4)+(AF$32*VALORI!$B$3)+(AF$33*VALORI!$B$5),0)</f>
        <v>0</v>
      </c>
      <c r="AG67" s="28">
        <f>IF(AG12&gt;0, (AG$30*VALORI!$B$4)+(AG$31*VALORI!$B$4)+(AG$32*VALORI!$B$3)+(AG$33*VALORI!$B$5),0)</f>
        <v>0</v>
      </c>
      <c r="AH67" s="28">
        <f>IF(AH12&gt;0, (AH$30*VALORI!$B$4)+(AH$31*VALORI!$B$4)+(AH$32*VALORI!$B$3)+(AH$33*VALORI!$B$5),0)</f>
        <v>0</v>
      </c>
      <c r="AI67" s="28">
        <f>IF(AI12&gt;0, (AI$30*VALORI!$B$4)+(AI$31*VALORI!$B$4)+(AI$32*VALORI!$B$3)+(AI$33*VALORI!$B$5),0)</f>
        <v>0</v>
      </c>
      <c r="AJ67" s="28">
        <f>IF(AJ12&gt;0, (AJ$30*VALORI!$B$4)+(AJ$31*VALORI!$B$4)+(AJ$32*VALORI!$B$3)+(AJ$33*VALORI!$B$5),0)</f>
        <v>0</v>
      </c>
      <c r="AK67" s="28">
        <f>IF(AK12&gt;0, (AK$30*VALORI!$B$4)+(AK$31*VALORI!$B$4)+(AK$32*VALORI!$B$3)+(AK$33*VALORI!$B$5),0)</f>
        <v>0</v>
      </c>
      <c r="AL67" s="28">
        <f>IF(AL12&gt;0, (AL$30*VALORI!$B$4)+(AL$31*VALORI!$B$4)+(AL$32*VALORI!$B$3)+(AL$33*VALORI!$B$5),0)</f>
        <v>0</v>
      </c>
      <c r="AM67" s="28">
        <f>IF(AM12&gt;0, (AM$30*VALORI!$B$4)+(AM$31*VALORI!$B$4)+(AM$32*VALORI!$B$3)+(AM$33*VALORI!$B$5),0)</f>
        <v>0</v>
      </c>
      <c r="AN67" s="28">
        <f>IF(AN12&gt;0, (AN$30*VALORI!$B$4)+(AN$31*VALORI!$B$4)+(AN$32*VALORI!$B$3)+(AN$33*VALORI!$B$5),0)</f>
        <v>0</v>
      </c>
      <c r="AO67" s="28">
        <f>IF(AO12&gt;0, (AO$30*VALORI!$B$4)+(AO$31*VALORI!$B$4)+(AO$32*VALORI!$B$3)+(AO$33*VALORI!$B$5),0)</f>
        <v>0</v>
      </c>
      <c r="AQ67" s="28">
        <f>IF(AQ12&gt;0, (AQ$30*VALORI!$B$4)+(AQ$31*VALORI!$B$4)+(AQ$32*VALORI!$B$3)+(AQ$33*VALORI!$B$5),0)</f>
        <v>0</v>
      </c>
      <c r="AR67" s="28">
        <f>IF(AR12&gt;0, (AR$30*VALORI!$B$4)+(AR$31*VALORI!$B$4)+(AR$32*VALORI!$B$3)+(AR$33*VALORI!$B$5),0)</f>
        <v>0</v>
      </c>
      <c r="AS67" s="28">
        <f>IF(AS12&gt;0, (AS$30*VALORI!$B$4)+(AS$31*VALORI!$B$4)+(AS$32*VALORI!$B$3)+(AS$33*VALORI!$B$5),0)</f>
        <v>0</v>
      </c>
      <c r="AT67" s="28">
        <f>IF(AT12&gt;0, (AT$30*VALORI!$B$4)+(AT$31*VALORI!$B$4)+(AT$32*VALORI!$B$3)+(AT$33*VALORI!$B$5),0)</f>
        <v>0</v>
      </c>
    </row>
    <row r="68" spans="23:46" ht="15.75" x14ac:dyDescent="0.25">
      <c r="W68" s="28">
        <f>IF(W13&gt;0, (W$30*VALORI!$B$4)+(W$31*VALORI!$B$4)+(W$32*VALORI!$B$3)+(W$33*VALORI!$B$5),0)</f>
        <v>0</v>
      </c>
      <c r="X68" s="28">
        <f>IF(X13&gt;0, (X$30*VALORI!$B$4)+(X$31*VALORI!$B$4)+(X$32*VALORI!$B$3)+(X$33*VALORI!$B$5),0)</f>
        <v>0</v>
      </c>
      <c r="Y68" s="28">
        <f>IF(Y13&gt;0, (Y$30*VALORI!$B$4)+(Y$31*VALORI!$B$4)+(Y$32*VALORI!$B$3)+(Y$33*VALORI!$B$5),0)</f>
        <v>0</v>
      </c>
      <c r="Z68" s="28">
        <f>IF(Z13&gt;0, (Z$30*VALORI!$B$4)+(Z$31*VALORI!$B$4)+(Z$32*VALORI!$B$3)+(Z$33*VALORI!$B$5),0)</f>
        <v>0</v>
      </c>
      <c r="AA68" s="28">
        <f>IF(AA13&gt;0, (AA$30*VALORI!$B$4)+(AA$31*VALORI!$B$4)+(AA$32*VALORI!$B$3)+(AA$33*VALORI!$B$5),0)</f>
        <v>0</v>
      </c>
      <c r="AB68" s="28">
        <f>IF(AB13&gt;0, (AB$30*VALORI!$B$4)+(AB$31*VALORI!$B$4)+(AB$32*VALORI!$B$3)+(AB$33*VALORI!$B$5),0)</f>
        <v>0</v>
      </c>
      <c r="AC68" s="28">
        <f>IF(AC13&gt;0, (AC$30*VALORI!$B$4)+(AC$31*VALORI!$B$4)+(AC$32*VALORI!$B$3)+(AC$33*VALORI!$B$5),0)</f>
        <v>0</v>
      </c>
      <c r="AD68" s="28">
        <f>IF(AD13&gt;0, (AD$30*VALORI!$B$4)+(AD$31*VALORI!$B$4)+(AD$32*VALORI!$B$3)+(AD$33*VALORI!$B$5),0)</f>
        <v>0</v>
      </c>
      <c r="AE68" s="28">
        <f>IF(AE13&gt;0, (AE$30*VALORI!$B$4)+(AE$31*VALORI!$B$4)+(AE$32*VALORI!$B$3)+(AE$33*VALORI!$B$5),0)</f>
        <v>0</v>
      </c>
      <c r="AF68" s="28">
        <f>IF(AF13&gt;0, (AF$30*VALORI!$B$4)+(AF$31*VALORI!$B$4)+(AF$32*VALORI!$B$3)+(AF$33*VALORI!$B$5),0)</f>
        <v>0</v>
      </c>
      <c r="AG68" s="28">
        <f>IF(AG13&gt;0, (AG$30*VALORI!$B$4)+(AG$31*VALORI!$B$4)+(AG$32*VALORI!$B$3)+(AG$33*VALORI!$B$5),0)</f>
        <v>0</v>
      </c>
      <c r="AH68" s="28">
        <f>IF(AH13&gt;0, (AH$30*VALORI!$B$4)+(AH$31*VALORI!$B$4)+(AH$32*VALORI!$B$3)+(AH$33*VALORI!$B$5),0)</f>
        <v>0</v>
      </c>
      <c r="AI68" s="28">
        <f>IF(AI13&gt;0, (AI$30*VALORI!$B$4)+(AI$31*VALORI!$B$4)+(AI$32*VALORI!$B$3)+(AI$33*VALORI!$B$5),0)</f>
        <v>0</v>
      </c>
      <c r="AJ68" s="28">
        <f>IF(AJ13&gt;0, (AJ$30*VALORI!$B$4)+(AJ$31*VALORI!$B$4)+(AJ$32*VALORI!$B$3)+(AJ$33*VALORI!$B$5),0)</f>
        <v>0</v>
      </c>
      <c r="AK68" s="28">
        <f>IF(AK13&gt;0, (AK$30*VALORI!$B$4)+(AK$31*VALORI!$B$4)+(AK$32*VALORI!$B$3)+(AK$33*VALORI!$B$5),0)</f>
        <v>0</v>
      </c>
      <c r="AL68" s="28">
        <f>IF(AL13&gt;0, (AL$30*VALORI!$B$4)+(AL$31*VALORI!$B$4)+(AL$32*VALORI!$B$3)+(AL$33*VALORI!$B$5),0)</f>
        <v>0</v>
      </c>
      <c r="AM68" s="28">
        <f>IF(AM13&gt;0, (AM$30*VALORI!$B$4)+(AM$31*VALORI!$B$4)+(AM$32*VALORI!$B$3)+(AM$33*VALORI!$B$5),0)</f>
        <v>0</v>
      </c>
      <c r="AN68" s="28">
        <f>IF(AN13&gt;0, (AN$30*VALORI!$B$4)+(AN$31*VALORI!$B$4)+(AN$32*VALORI!$B$3)+(AN$33*VALORI!$B$5),0)</f>
        <v>0</v>
      </c>
      <c r="AO68" s="28">
        <f>IF(AO13&gt;0, (AO$30*VALORI!$B$4)+(AO$31*VALORI!$B$4)+(AO$32*VALORI!$B$3)+(AO$33*VALORI!$B$5),0)</f>
        <v>0</v>
      </c>
      <c r="AQ68" s="28">
        <f>IF(AQ13&gt;0, (AQ$30*VALORI!$B$4)+(AQ$31*VALORI!$B$4)+(AQ$32*VALORI!$B$3)+(AQ$33*VALORI!$B$5),0)</f>
        <v>0</v>
      </c>
      <c r="AR68" s="28">
        <f>IF(AR13&gt;0, (AR$30*VALORI!$B$4)+(AR$31*VALORI!$B$4)+(AR$32*VALORI!$B$3)+(AR$33*VALORI!$B$5),0)</f>
        <v>0</v>
      </c>
      <c r="AS68" s="28">
        <f>IF(AS13&gt;0, (AS$30*VALORI!$B$4)+(AS$31*VALORI!$B$4)+(AS$32*VALORI!$B$3)+(AS$33*VALORI!$B$5),0)</f>
        <v>0</v>
      </c>
      <c r="AT68" s="28">
        <f>IF(AT13&gt;0, (AT$30*VALORI!$B$4)+(AT$31*VALORI!$B$4)+(AT$32*VALORI!$B$3)+(AT$33*VALORI!$B$5),0)</f>
        <v>0</v>
      </c>
    </row>
    <row r="69" spans="23:46" ht="15.75" x14ac:dyDescent="0.25">
      <c r="W69" s="28">
        <f>IF(W22&gt;0, (W$30*VALORI!$B$4)+(W$31*VALORI!$B$4)+(W$32*VALORI!$B$3)+(W$33*VALORI!$B$5),0)</f>
        <v>0</v>
      </c>
      <c r="X69" s="28">
        <f>IF(X22&gt;0, (X$30*VALORI!$B$4)+(X$31*VALORI!$B$4)+(X$32*VALORI!$B$3)+(X$33*VALORI!$B$5),0)</f>
        <v>0</v>
      </c>
      <c r="Y69" s="28">
        <f>IF(Y22&gt;0, (Y$30*VALORI!$B$4)+(Y$31*VALORI!$B$4)+(Y$32*VALORI!$B$3)+(Y$33*VALORI!$B$5),0)</f>
        <v>0</v>
      </c>
      <c r="Z69" s="28">
        <f>IF(Z22&gt;0, (Z$30*VALORI!$B$4)+(Z$31*VALORI!$B$4)+(Z$32*VALORI!$B$3)+(Z$33*VALORI!$B$5),0)</f>
        <v>0</v>
      </c>
      <c r="AA69" s="28">
        <f>IF(AA22&gt;0, (AA$30*VALORI!$B$4)+(AA$31*VALORI!$B$4)+(AA$32*VALORI!$B$3)+(AA$33*VALORI!$B$5),0)</f>
        <v>0</v>
      </c>
      <c r="AB69" s="28">
        <f>IF(AB22&gt;0, (AB$30*VALORI!$B$4)+(AB$31*VALORI!$B$4)+(AB$32*VALORI!$B$3)+(AB$33*VALORI!$B$5),0)</f>
        <v>0</v>
      </c>
      <c r="AC69" s="28">
        <f>IF(AC22&gt;0, (AC$30*VALORI!$B$4)+(AC$31*VALORI!$B$4)+(AC$32*VALORI!$B$3)+(AC$33*VALORI!$B$5),0)</f>
        <v>0</v>
      </c>
      <c r="AD69" s="28">
        <f>IF(AD22&gt;0, (AD$30*VALORI!$B$4)+(AD$31*VALORI!$B$4)+(AD$32*VALORI!$B$3)+(AD$33*VALORI!$B$5),0)</f>
        <v>0</v>
      </c>
      <c r="AE69" s="28">
        <f>IF(AE22&gt;0, (AE$30*VALORI!$B$4)+(AE$31*VALORI!$B$4)+(AE$32*VALORI!$B$3)+(AE$33*VALORI!$B$5),0)</f>
        <v>0</v>
      </c>
      <c r="AF69" s="28">
        <f>IF(AF22&gt;0, (AF$30*VALORI!$B$4)+(AF$31*VALORI!$B$4)+(AF$32*VALORI!$B$3)+(AF$33*VALORI!$B$5),0)</f>
        <v>0</v>
      </c>
      <c r="AG69" s="28">
        <f>IF(AG22&gt;0, (AG$30*VALORI!$B$4)+(AG$31*VALORI!$B$4)+(AG$32*VALORI!$B$3)+(AG$33*VALORI!$B$5),0)</f>
        <v>0</v>
      </c>
      <c r="AH69" s="28">
        <f>IF(AH22&gt;0, (AH$30*VALORI!$B$4)+(AH$31*VALORI!$B$4)+(AH$32*VALORI!$B$3)+(AH$33*VALORI!$B$5),0)</f>
        <v>0</v>
      </c>
      <c r="AI69" s="28">
        <f>IF(AI22&gt;0, (AI$30*VALORI!$B$4)+(AI$31*VALORI!$B$4)+(AI$32*VALORI!$B$3)+(AI$33*VALORI!$B$5),0)</f>
        <v>0</v>
      </c>
      <c r="AJ69" s="28">
        <f>IF(AJ22&gt;0, (AJ$30*VALORI!$B$4)+(AJ$31*VALORI!$B$4)+(AJ$32*VALORI!$B$3)+(AJ$33*VALORI!$B$5),0)</f>
        <v>0</v>
      </c>
      <c r="AK69" s="28">
        <f>IF(AK22&gt;0, (AK$30*VALORI!$B$4)+(AK$31*VALORI!$B$4)+(AK$32*VALORI!$B$3)+(AK$33*VALORI!$B$5),0)</f>
        <v>0</v>
      </c>
      <c r="AL69" s="28">
        <f>IF(AL22&gt;0, (AL$30*VALORI!$B$4)+(AL$31*VALORI!$B$4)+(AL$32*VALORI!$B$3)+(AL$33*VALORI!$B$5),0)</f>
        <v>0</v>
      </c>
      <c r="AM69" s="28">
        <f>IF(AM22&gt;0, (AM$30*VALORI!$B$4)+(AM$31*VALORI!$B$4)+(AM$32*VALORI!$B$3)+(AM$33*VALORI!$B$5),0)</f>
        <v>0</v>
      </c>
      <c r="AN69" s="28">
        <f>IF(AN22&gt;0, (AN$30*VALORI!$B$4)+(AN$31*VALORI!$B$4)+(AN$32*VALORI!$B$3)+(AN$33*VALORI!$B$5),0)</f>
        <v>0</v>
      </c>
      <c r="AO69" s="28">
        <f>IF(AO22&gt;0, (AO$30*VALORI!$B$4)+(AO$31*VALORI!$B$4)+(AO$32*VALORI!$B$3)+(AO$33*VALORI!$B$5),0)</f>
        <v>0</v>
      </c>
      <c r="AQ69" s="28">
        <f>IF(AQ22&gt;0, (AQ$30*VALORI!$B$4)+(AQ$31*VALORI!$B$4)+(AQ$32*VALORI!$B$3)+(AQ$33*VALORI!$B$5),0)</f>
        <v>0</v>
      </c>
      <c r="AR69" s="28">
        <f>IF(AR22&gt;0, (AR$30*VALORI!$B$4)+(AR$31*VALORI!$B$4)+(AR$32*VALORI!$B$3)+(AR$33*VALORI!$B$5),0)</f>
        <v>0</v>
      </c>
      <c r="AS69" s="28">
        <f>IF(AS22&gt;0, (AS$30*VALORI!$B$4)+(AS$31*VALORI!$B$4)+(AS$32*VALORI!$B$3)+(AS$33*VALORI!$B$5),0)</f>
        <v>0</v>
      </c>
      <c r="AT69" s="28">
        <f>IF(AT22&gt;0, (AT$30*VALORI!$B$4)+(AT$31*VALORI!$B$4)+(AT$32*VALORI!$B$3)+(AT$33*VALORI!$B$5),0)</f>
        <v>0</v>
      </c>
    </row>
    <row r="70" spans="23:46" ht="15.75" x14ac:dyDescent="0.25">
      <c r="W70" s="28">
        <f>IF(W24&gt;0, (W$30*VALORI!$B$4)+(W$31*VALORI!$B$4)+(W$32*VALORI!$B$3)+(W$33*VALORI!$B$5),0)</f>
        <v>0</v>
      </c>
      <c r="X70" s="28">
        <f>IF(X24&gt;0, (X$30*VALORI!$B$4)+(X$31*VALORI!$B$4)+(X$32*VALORI!$B$3)+(X$33*VALORI!$B$5),0)</f>
        <v>0</v>
      </c>
      <c r="Y70" s="28">
        <f>IF(Y24&gt;0, (Y$30*VALORI!$B$4)+(Y$31*VALORI!$B$4)+(Y$32*VALORI!$B$3)+(Y$33*VALORI!$B$5),0)</f>
        <v>0</v>
      </c>
      <c r="Z70" s="28">
        <f>IF(Z24&gt;0, (Z$30*VALORI!$B$4)+(Z$31*VALORI!$B$4)+(Z$32*VALORI!$B$3)+(Z$33*VALORI!$B$5),0)</f>
        <v>0</v>
      </c>
      <c r="AA70" s="28">
        <f>IF(AA24&gt;0, (AA$30*VALORI!$B$4)+(AA$31*VALORI!$B$4)+(AA$32*VALORI!$B$3)+(AA$33*VALORI!$B$5),0)</f>
        <v>0</v>
      </c>
      <c r="AB70" s="28">
        <f>IF(AB24&gt;0, (AB$30*VALORI!$B$4)+(AB$31*VALORI!$B$4)+(AB$32*VALORI!$B$3)+(AB$33*VALORI!$B$5),0)</f>
        <v>0</v>
      </c>
      <c r="AC70" s="28">
        <f>IF(AC24&gt;0, (AC$30*VALORI!$B$4)+(AC$31*VALORI!$B$4)+(AC$32*VALORI!$B$3)+(AC$33*VALORI!$B$5),0)</f>
        <v>0</v>
      </c>
      <c r="AD70" s="28">
        <f>IF(AD24&gt;0, (AD$30*VALORI!$B$4)+(AD$31*VALORI!$B$4)+(AD$32*VALORI!$B$3)+(AD$33*VALORI!$B$5),0)</f>
        <v>0</v>
      </c>
      <c r="AE70" s="28">
        <f>IF(AE24&gt;0, (AE$30*VALORI!$B$4)+(AE$31*VALORI!$B$4)+(AE$32*VALORI!$B$3)+(AE$33*VALORI!$B$5),0)</f>
        <v>0</v>
      </c>
      <c r="AF70" s="28">
        <f>IF(AF24&gt;0, (AF$30*VALORI!$B$4)+(AF$31*VALORI!$B$4)+(AF$32*VALORI!$B$3)+(AF$33*VALORI!$B$5),0)</f>
        <v>0</v>
      </c>
      <c r="AG70" s="28">
        <f>IF(AG24&gt;0, (AG$30*VALORI!$B$4)+(AG$31*VALORI!$B$4)+(AG$32*VALORI!$B$3)+(AG$33*VALORI!$B$5),0)</f>
        <v>0</v>
      </c>
      <c r="AH70" s="28">
        <f>IF(AH24&gt;0, (AH$30*VALORI!$B$4)+(AH$31*VALORI!$B$4)+(AH$32*VALORI!$B$3)+(AH$33*VALORI!$B$5),0)</f>
        <v>0</v>
      </c>
      <c r="AI70" s="28">
        <f>IF(AI24&gt;0, (AI$30*VALORI!$B$4)+(AI$31*VALORI!$B$4)+(AI$32*VALORI!$B$3)+(AI$33*VALORI!$B$5),0)</f>
        <v>0</v>
      </c>
      <c r="AJ70" s="28">
        <f>IF(AJ24&gt;0, (AJ$30*VALORI!$B$4)+(AJ$31*VALORI!$B$4)+(AJ$32*VALORI!$B$3)+(AJ$33*VALORI!$B$5),0)</f>
        <v>0</v>
      </c>
      <c r="AK70" s="28">
        <f>IF(AK24&gt;0, (AK$30*VALORI!$B$4)+(AK$31*VALORI!$B$4)+(AK$32*VALORI!$B$3)+(AK$33*VALORI!$B$5),0)</f>
        <v>0</v>
      </c>
      <c r="AL70" s="28">
        <f>IF(AL24&gt;0, (AL$30*VALORI!$B$4)+(AL$31*VALORI!$B$4)+(AL$32*VALORI!$B$3)+(AL$33*VALORI!$B$5),0)</f>
        <v>0</v>
      </c>
      <c r="AM70" s="28">
        <f>IF(AM24&gt;0, (AM$30*VALORI!$B$4)+(AM$31*VALORI!$B$4)+(AM$32*VALORI!$B$3)+(AM$33*VALORI!$B$5),0)</f>
        <v>0</v>
      </c>
      <c r="AN70" s="28">
        <f>IF(AN24&gt;0, (AN$30*VALORI!$B$4)+(AN$31*VALORI!$B$4)+(AN$32*VALORI!$B$3)+(AN$33*VALORI!$B$5),0)</f>
        <v>0</v>
      </c>
      <c r="AO70" s="28">
        <f>IF(AO24&gt;0, (AO$30*VALORI!$B$4)+(AO$31*VALORI!$B$4)+(AO$32*VALORI!$B$3)+(AO$33*VALORI!$B$5),0)</f>
        <v>0</v>
      </c>
      <c r="AQ70" s="28">
        <f>IF(AQ24&gt;0, (AQ$30*VALORI!$B$4)+(AQ$31*VALORI!$B$4)+(AQ$32*VALORI!$B$3)+(AQ$33*VALORI!$B$5),0)</f>
        <v>0</v>
      </c>
      <c r="AR70" s="28">
        <f>IF(AR24&gt;0, (AR$30*VALORI!$B$4)+(AR$31*VALORI!$B$4)+(AR$32*VALORI!$B$3)+(AR$33*VALORI!$B$5),0)</f>
        <v>0</v>
      </c>
      <c r="AS70" s="28">
        <f>IF(AS24&gt;0, (AS$30*VALORI!$B$4)+(AS$31*VALORI!$B$4)+(AS$32*VALORI!$B$3)+(AS$33*VALORI!$B$5),0)</f>
        <v>0</v>
      </c>
      <c r="AT70" s="28">
        <f>IF(AT24&gt;0, (AT$30*VALORI!$B$4)+(AT$31*VALORI!$B$4)+(AT$32*VALORI!$B$3)+(AT$33*VALORI!$B$5),0)</f>
        <v>0</v>
      </c>
    </row>
    <row r="71" spans="23:46" ht="15.75" x14ac:dyDescent="0.25">
      <c r="W71" s="28">
        <f>IF(W25&gt;0, (W$30*VALORI!$B$4)+(W$31*VALORI!$B$4)+(W$32*VALORI!$B$3)+(W$33*VALORI!$B$5),0)</f>
        <v>0</v>
      </c>
      <c r="X71" s="28">
        <f>IF(X25&gt;0, (X$30*VALORI!$B$4)+(X$31*VALORI!$B$4)+(X$32*VALORI!$B$3)+(X$33*VALORI!$B$5),0)</f>
        <v>0</v>
      </c>
      <c r="Y71" s="28">
        <f>IF(Y25&gt;0, (Y$30*VALORI!$B$4)+(Y$31*VALORI!$B$4)+(Y$32*VALORI!$B$3)+(Y$33*VALORI!$B$5),0)</f>
        <v>0</v>
      </c>
      <c r="Z71" s="28">
        <f>IF(Z25&gt;0, (Z$30*VALORI!$B$4)+(Z$31*VALORI!$B$4)+(Z$32*VALORI!$B$3)+(Z$33*VALORI!$B$5),0)</f>
        <v>0</v>
      </c>
      <c r="AA71" s="28">
        <f>IF(AA25&gt;0, (AA$30*VALORI!$B$4)+(AA$31*VALORI!$B$4)+(AA$32*VALORI!$B$3)+(AA$33*VALORI!$B$5),0)</f>
        <v>0</v>
      </c>
      <c r="AB71" s="28">
        <f>IF(AB25&gt;0, (AB$30*VALORI!$B$4)+(AB$31*VALORI!$B$4)+(AB$32*VALORI!$B$3)+(AB$33*VALORI!$B$5),0)</f>
        <v>0</v>
      </c>
      <c r="AC71" s="28">
        <f>IF(AC25&gt;0, (AC$30*VALORI!$B$4)+(AC$31*VALORI!$B$4)+(AC$32*VALORI!$B$3)+(AC$33*VALORI!$B$5),0)</f>
        <v>0</v>
      </c>
      <c r="AD71" s="28">
        <f>IF(AD25&gt;0, (AD$30*VALORI!$B$4)+(AD$31*VALORI!$B$4)+(AD$32*VALORI!$B$3)+(AD$33*VALORI!$B$5),0)</f>
        <v>0</v>
      </c>
      <c r="AE71" s="28">
        <f>IF(AE25&gt;0, (AE$30*VALORI!$B$4)+(AE$31*VALORI!$B$4)+(AE$32*VALORI!$B$3)+(AE$33*VALORI!$B$5),0)</f>
        <v>0</v>
      </c>
      <c r="AF71" s="28">
        <f>IF(AF25&gt;0, (AF$30*VALORI!$B$4)+(AF$31*VALORI!$B$4)+(AF$32*VALORI!$B$3)+(AF$33*VALORI!$B$5),0)</f>
        <v>0</v>
      </c>
      <c r="AG71" s="28">
        <f>IF(AG25&gt;0, (AG$30*VALORI!$B$4)+(AG$31*VALORI!$B$4)+(AG$32*VALORI!$B$3)+(AG$33*VALORI!$B$5),0)</f>
        <v>0</v>
      </c>
      <c r="AH71" s="28">
        <f>IF(AH25&gt;0, (AH$30*VALORI!$B$4)+(AH$31*VALORI!$B$4)+(AH$32*VALORI!$B$3)+(AH$33*VALORI!$B$5),0)</f>
        <v>0</v>
      </c>
      <c r="AI71" s="28">
        <f>IF(AI25&gt;0, (AI$30*VALORI!$B$4)+(AI$31*VALORI!$B$4)+(AI$32*VALORI!$B$3)+(AI$33*VALORI!$B$5),0)</f>
        <v>0</v>
      </c>
      <c r="AJ71" s="28">
        <f>IF(AJ25&gt;0, (AJ$30*VALORI!$B$4)+(AJ$31*VALORI!$B$4)+(AJ$32*VALORI!$B$3)+(AJ$33*VALORI!$B$5),0)</f>
        <v>0</v>
      </c>
      <c r="AK71" s="28">
        <f>IF(AK25&gt;0, (AK$30*VALORI!$B$4)+(AK$31*VALORI!$B$4)+(AK$32*VALORI!$B$3)+(AK$33*VALORI!$B$5),0)</f>
        <v>0</v>
      </c>
      <c r="AL71" s="28">
        <f>IF(AL25&gt;0, (AL$30*VALORI!$B$4)+(AL$31*VALORI!$B$4)+(AL$32*VALORI!$B$3)+(AL$33*VALORI!$B$5),0)</f>
        <v>0</v>
      </c>
      <c r="AM71" s="28">
        <f>IF(AM25&gt;0, (AM$30*VALORI!$B$4)+(AM$31*VALORI!$B$4)+(AM$32*VALORI!$B$3)+(AM$33*VALORI!$B$5),0)</f>
        <v>0</v>
      </c>
      <c r="AN71" s="28">
        <f>IF(AN25&gt;0, (AN$30*VALORI!$B$4)+(AN$31*VALORI!$B$4)+(AN$32*VALORI!$B$3)+(AN$33*VALORI!$B$5),0)</f>
        <v>0</v>
      </c>
      <c r="AO71" s="28">
        <f>IF(AO25&gt;0, (AO$30*VALORI!$B$4)+(AO$31*VALORI!$B$4)+(AO$32*VALORI!$B$3)+(AO$33*VALORI!$B$5),0)</f>
        <v>0</v>
      </c>
      <c r="AQ71" s="28">
        <f>IF(AQ25&gt;0, (AQ$30*VALORI!$B$4)+(AQ$31*VALORI!$B$4)+(AQ$32*VALORI!$B$3)+(AQ$33*VALORI!$B$5),0)</f>
        <v>0</v>
      </c>
      <c r="AR71" s="28">
        <f>IF(AR25&gt;0, (AR$30*VALORI!$B$4)+(AR$31*VALORI!$B$4)+(AR$32*VALORI!$B$3)+(AR$33*VALORI!$B$5),0)</f>
        <v>0</v>
      </c>
      <c r="AS71" s="28">
        <f>IF(AS25&gt;0, (AS$30*VALORI!$B$4)+(AS$31*VALORI!$B$4)+(AS$32*VALORI!$B$3)+(AS$33*VALORI!$B$5),0)</f>
        <v>0</v>
      </c>
      <c r="AT71" s="28">
        <f>IF(AT25&gt;0, (AT$30*VALORI!$B$4)+(AT$31*VALORI!$B$4)+(AT$32*VALORI!$B$3)+(AT$33*VALORI!$B$5),0)</f>
        <v>0</v>
      </c>
    </row>
    <row r="72" spans="23:46" ht="15.75" x14ac:dyDescent="0.25">
      <c r="W72" s="28">
        <f>IF(W26&gt;0, (W$30*VALORI!$B$4)+(W$31*VALORI!$B$4)+(W$32*VALORI!$B$3)+(W$33*VALORI!$B$5),0)</f>
        <v>0</v>
      </c>
      <c r="X72" s="28">
        <f>IF(X26&gt;0, (X$30*VALORI!$B$4)+(X$31*VALORI!$B$4)+(X$32*VALORI!$B$3)+(X$33*VALORI!$B$5),0)</f>
        <v>0</v>
      </c>
      <c r="Y72" s="28">
        <f>IF(Y26&gt;0, (Y$30*VALORI!$B$4)+(Y$31*VALORI!$B$4)+(Y$32*VALORI!$B$3)+(Y$33*VALORI!$B$5),0)</f>
        <v>0</v>
      </c>
      <c r="Z72" s="28">
        <f>IF(Z26&gt;0, (Z$30*VALORI!$B$4)+(Z$31*VALORI!$B$4)+(Z$32*VALORI!$B$3)+(Z$33*VALORI!$B$5),0)</f>
        <v>0</v>
      </c>
      <c r="AA72" s="28">
        <f>IF(AA26&gt;0, (AA$30*VALORI!$B$4)+(AA$31*VALORI!$B$4)+(AA$32*VALORI!$B$3)+(AA$33*VALORI!$B$5),0)</f>
        <v>0</v>
      </c>
      <c r="AB72" s="28">
        <f>IF(AB26&gt;0, (AB$30*VALORI!$B$4)+(AB$31*VALORI!$B$4)+(AB$32*VALORI!$B$3)+(AB$33*VALORI!$B$5),0)</f>
        <v>0</v>
      </c>
      <c r="AC72" s="28">
        <f>IF(AC26&gt;0, (AC$30*VALORI!$B$4)+(AC$31*VALORI!$B$4)+(AC$32*VALORI!$B$3)+(AC$33*VALORI!$B$5),0)</f>
        <v>0</v>
      </c>
      <c r="AD72" s="28">
        <f>IF(AD26&gt;0, (AD$30*VALORI!$B$4)+(AD$31*VALORI!$B$4)+(AD$32*VALORI!$B$3)+(AD$33*VALORI!$B$5),0)</f>
        <v>0</v>
      </c>
      <c r="AE72" s="28">
        <f>IF(AE26&gt;0, (AE$30*VALORI!$B$4)+(AE$31*VALORI!$B$4)+(AE$32*VALORI!$B$3)+(AE$33*VALORI!$B$5),0)</f>
        <v>0</v>
      </c>
      <c r="AF72" s="28">
        <f>IF(AF26&gt;0, (AF$30*VALORI!$B$4)+(AF$31*VALORI!$B$4)+(AF$32*VALORI!$B$3)+(AF$33*VALORI!$B$5),0)</f>
        <v>0</v>
      </c>
      <c r="AG72" s="28">
        <f>IF(AG26&gt;0, (AG$30*VALORI!$B$4)+(AG$31*VALORI!$B$4)+(AG$32*VALORI!$B$3)+(AG$33*VALORI!$B$5),0)</f>
        <v>0</v>
      </c>
      <c r="AH72" s="28">
        <f>IF(AH26&gt;0, (AH$30*VALORI!$B$4)+(AH$31*VALORI!$B$4)+(AH$32*VALORI!$B$3)+(AH$33*VALORI!$B$5),0)</f>
        <v>0</v>
      </c>
      <c r="AI72" s="28">
        <f>IF(AI26&gt;0, (AI$30*VALORI!$B$4)+(AI$31*VALORI!$B$4)+(AI$32*VALORI!$B$3)+(AI$33*VALORI!$B$5),0)</f>
        <v>0</v>
      </c>
      <c r="AJ72" s="28">
        <f>IF(AJ26&gt;0, (AJ$30*VALORI!$B$4)+(AJ$31*VALORI!$B$4)+(AJ$32*VALORI!$B$3)+(AJ$33*VALORI!$B$5),0)</f>
        <v>0</v>
      </c>
      <c r="AK72" s="28">
        <f>IF(AK26&gt;0, (AK$30*VALORI!$B$4)+(AK$31*VALORI!$B$4)+(AK$32*VALORI!$B$3)+(AK$33*VALORI!$B$5),0)</f>
        <v>0</v>
      </c>
      <c r="AL72" s="28">
        <f>IF(AL26&gt;0, (AL$30*VALORI!$B$4)+(AL$31*VALORI!$B$4)+(AL$32*VALORI!$B$3)+(AL$33*VALORI!$B$5),0)</f>
        <v>0</v>
      </c>
      <c r="AM72" s="28">
        <f>IF(AM26&gt;0, (AM$30*VALORI!$B$4)+(AM$31*VALORI!$B$4)+(AM$32*VALORI!$B$3)+(AM$33*VALORI!$B$5),0)</f>
        <v>0</v>
      </c>
      <c r="AN72" s="28">
        <f>IF(AN26&gt;0, (AN$30*VALORI!$B$4)+(AN$31*VALORI!$B$4)+(AN$32*VALORI!$B$3)+(AN$33*VALORI!$B$5),0)</f>
        <v>0</v>
      </c>
      <c r="AO72" s="28">
        <f>IF(AO26&gt;0, (AO$30*VALORI!$B$4)+(AO$31*VALORI!$B$4)+(AO$32*VALORI!$B$3)+(AO$33*VALORI!$B$5),0)</f>
        <v>0</v>
      </c>
      <c r="AQ72" s="28">
        <f>IF(AQ26&gt;0, (AQ$30*VALORI!$B$4)+(AQ$31*VALORI!$B$4)+(AQ$32*VALORI!$B$3)+(AQ$33*VALORI!$B$5),0)</f>
        <v>0</v>
      </c>
      <c r="AR72" s="28">
        <f>IF(AR26&gt;0, (AR$30*VALORI!$B$4)+(AR$31*VALORI!$B$4)+(AR$32*VALORI!$B$3)+(AR$33*VALORI!$B$5),0)</f>
        <v>0</v>
      </c>
      <c r="AS72" s="28">
        <f>IF(AS26&gt;0, (AS$30*VALORI!$B$4)+(AS$31*VALORI!$B$4)+(AS$32*VALORI!$B$3)+(AS$33*VALORI!$B$5),0)</f>
        <v>0</v>
      </c>
      <c r="AT72" s="28">
        <f>IF(AT26&gt;0, (AT$30*VALORI!$B$4)+(AT$31*VALORI!$B$4)+(AT$32*VALORI!$B$3)+(AT$33*VALORI!$B$5),0)</f>
        <v>0</v>
      </c>
    </row>
    <row r="73" spans="23:46" ht="15.75" x14ac:dyDescent="0.25">
      <c r="W73" s="28">
        <f>IF(W27&gt;0, (W$30*VALORI!$B$4)+(W$31*VALORI!$B$4)+(W$32*VALORI!$B$3)+(W$33*VALORI!$B$5),0)</f>
        <v>0</v>
      </c>
      <c r="X73" s="28">
        <f>IF(X27&gt;0, (X$30*VALORI!$B$4)+(X$31*VALORI!$B$4)+(X$32*VALORI!$B$3)+(X$33*VALORI!$B$5),0)</f>
        <v>0</v>
      </c>
      <c r="Y73" s="28">
        <f>IF(Y27&gt;0, (Y$30*VALORI!$B$4)+(Y$31*VALORI!$B$4)+(Y$32*VALORI!$B$3)+(Y$33*VALORI!$B$5),0)</f>
        <v>0</v>
      </c>
      <c r="Z73" s="28">
        <f>IF(Z27&gt;0, (Z$30*VALORI!$B$4)+(Z$31*VALORI!$B$4)+(Z$32*VALORI!$B$3)+(Z$33*VALORI!$B$5),0)</f>
        <v>0</v>
      </c>
      <c r="AA73" s="28">
        <f>IF(AA27&gt;0, (AA$30*VALORI!$B$4)+(AA$31*VALORI!$B$4)+(AA$32*VALORI!$B$3)+(AA$33*VALORI!$B$5),0)</f>
        <v>0</v>
      </c>
      <c r="AB73" s="28">
        <f>IF(AB27&gt;0, (AB$30*VALORI!$B$4)+(AB$31*VALORI!$B$4)+(AB$32*VALORI!$B$3)+(AB$33*VALORI!$B$5),0)</f>
        <v>0</v>
      </c>
      <c r="AC73" s="28">
        <f>IF(AC27&gt;0, (AC$30*VALORI!$B$4)+(AC$31*VALORI!$B$4)+(AC$32*VALORI!$B$3)+(AC$33*VALORI!$B$5),0)</f>
        <v>0</v>
      </c>
      <c r="AD73" s="28">
        <f>IF(AD27&gt;0, (AD$30*VALORI!$B$4)+(AD$31*VALORI!$B$4)+(AD$32*VALORI!$B$3)+(AD$33*VALORI!$B$5),0)</f>
        <v>0</v>
      </c>
      <c r="AE73" s="28">
        <f>IF(AE27&gt;0, (AE$30*VALORI!$B$4)+(AE$31*VALORI!$B$4)+(AE$32*VALORI!$B$3)+(AE$33*VALORI!$B$5),0)</f>
        <v>0</v>
      </c>
      <c r="AF73" s="28">
        <f>IF(AF27&gt;0, (AF$30*VALORI!$B$4)+(AF$31*VALORI!$B$4)+(AF$32*VALORI!$B$3)+(AF$33*VALORI!$B$5),0)</f>
        <v>0</v>
      </c>
      <c r="AG73" s="28">
        <f>IF(AG27&gt;0, (AG$30*VALORI!$B$4)+(AG$31*VALORI!$B$4)+(AG$32*VALORI!$B$3)+(AG$33*VALORI!$B$5),0)</f>
        <v>0</v>
      </c>
      <c r="AH73" s="28">
        <f>IF(AH27&gt;0, (AH$30*VALORI!$B$4)+(AH$31*VALORI!$B$4)+(AH$32*VALORI!$B$3)+(AH$33*VALORI!$B$5),0)</f>
        <v>0</v>
      </c>
      <c r="AI73" s="28">
        <f>IF(AI27&gt;0, (AI$30*VALORI!$B$4)+(AI$31*VALORI!$B$4)+(AI$32*VALORI!$B$3)+(AI$33*VALORI!$B$5),0)</f>
        <v>0</v>
      </c>
      <c r="AJ73" s="28">
        <f>IF(AJ27&gt;0, (AJ$30*VALORI!$B$4)+(AJ$31*VALORI!$B$4)+(AJ$32*VALORI!$B$3)+(AJ$33*VALORI!$B$5),0)</f>
        <v>0</v>
      </c>
      <c r="AK73" s="28">
        <f>IF(AK27&gt;0, (AK$30*VALORI!$B$4)+(AK$31*VALORI!$B$4)+(AK$32*VALORI!$B$3)+(AK$33*VALORI!$B$5),0)</f>
        <v>0</v>
      </c>
      <c r="AL73" s="28">
        <f>IF(AL27&gt;0, (AL$30*VALORI!$B$4)+(AL$31*VALORI!$B$4)+(AL$32*VALORI!$B$3)+(AL$33*VALORI!$B$5),0)</f>
        <v>0</v>
      </c>
      <c r="AM73" s="28">
        <f>IF(AM27&gt;0, (AM$30*VALORI!$B$4)+(AM$31*VALORI!$B$4)+(AM$32*VALORI!$B$3)+(AM$33*VALORI!$B$5),0)</f>
        <v>0</v>
      </c>
      <c r="AN73" s="28">
        <f>IF(AN27&gt;0, (AN$30*VALORI!$B$4)+(AN$31*VALORI!$B$4)+(AN$32*VALORI!$B$3)+(AN$33*VALORI!$B$5),0)</f>
        <v>0</v>
      </c>
      <c r="AO73" s="28">
        <f>IF(AO27&gt;0, (AO$30*VALORI!$B$4)+(AO$31*VALORI!$B$4)+(AO$32*VALORI!$B$3)+(AO$33*VALORI!$B$5),0)</f>
        <v>0</v>
      </c>
      <c r="AQ73" s="28">
        <f>IF(AQ27&gt;0, (AQ$30*VALORI!$B$4)+(AQ$31*VALORI!$B$4)+(AQ$32*VALORI!$B$3)+(AQ$33*VALORI!$B$5),0)</f>
        <v>0</v>
      </c>
      <c r="AR73" s="28">
        <f>IF(AR27&gt;0, (AR$30*VALORI!$B$4)+(AR$31*VALORI!$B$4)+(AR$32*VALORI!$B$3)+(AR$33*VALORI!$B$5),0)</f>
        <v>0</v>
      </c>
      <c r="AS73" s="28">
        <f>IF(AS27&gt;0, (AS$30*VALORI!$B$4)+(AS$31*VALORI!$B$4)+(AS$32*VALORI!$B$3)+(AS$33*VALORI!$B$5),0)</f>
        <v>0</v>
      </c>
      <c r="AT73" s="28">
        <f>IF(AT27&gt;0, (AT$30*VALORI!$B$4)+(AT$31*VALORI!$B$4)+(AT$32*VALORI!$B$3)+(AT$33*VALORI!$B$5),0)</f>
        <v>0</v>
      </c>
    </row>
    <row r="74" spans="23:46" ht="15.75" x14ac:dyDescent="0.25">
      <c r="W74" s="28">
        <f>IF(W28&gt;0, (W$30*VALORI!$B$4)+(W$31*VALORI!$B$4)+(W$32*VALORI!$B$3)+(W$33*VALORI!$B$5),0)</f>
        <v>0</v>
      </c>
      <c r="X74" s="28">
        <f>IF(X28&gt;0, (X$30*VALORI!$B$4)+(X$31*VALORI!$B$4)+(X$32*VALORI!$B$3)+(X$33*VALORI!$B$5),0)</f>
        <v>0</v>
      </c>
      <c r="Y74" s="28">
        <f>IF(Y28&gt;0, (Y$30*VALORI!$B$4)+(Y$31*VALORI!$B$4)+(Y$32*VALORI!$B$3)+(Y$33*VALORI!$B$5),0)</f>
        <v>0</v>
      </c>
      <c r="Z74" s="28">
        <f>IF(Z28&gt;0, (Z$30*VALORI!$B$4)+(Z$31*VALORI!$B$4)+(Z$32*VALORI!$B$3)+(Z$33*VALORI!$B$5),0)</f>
        <v>0</v>
      </c>
      <c r="AA74" s="28">
        <f>IF(AA28&gt;0, (AA$30*VALORI!$B$4)+(AA$31*VALORI!$B$4)+(AA$32*VALORI!$B$3)+(AA$33*VALORI!$B$5),0)</f>
        <v>0</v>
      </c>
      <c r="AB74" s="28">
        <f>IF(AB28&gt;0, (AB$30*VALORI!$B$4)+(AB$31*VALORI!$B$4)+(AB$32*VALORI!$B$3)+(AB$33*VALORI!$B$5),0)</f>
        <v>0</v>
      </c>
      <c r="AC74" s="28">
        <f>IF(AC28&gt;0, (AC$30*VALORI!$B$4)+(AC$31*VALORI!$B$4)+(AC$32*VALORI!$B$3)+(AC$33*VALORI!$B$5),0)</f>
        <v>0</v>
      </c>
      <c r="AD74" s="28">
        <f>IF(AD28&gt;0, (AD$30*VALORI!$B$4)+(AD$31*VALORI!$B$4)+(AD$32*VALORI!$B$3)+(AD$33*VALORI!$B$5),0)</f>
        <v>0</v>
      </c>
      <c r="AE74" s="28">
        <f>IF(AE28&gt;0, (AE$30*VALORI!$B$4)+(AE$31*VALORI!$B$4)+(AE$32*VALORI!$B$3)+(AE$33*VALORI!$B$5),0)</f>
        <v>0</v>
      </c>
      <c r="AF74" s="28">
        <f>IF(AF28&gt;0, (AF$30*VALORI!$B$4)+(AF$31*VALORI!$B$4)+(AF$32*VALORI!$B$3)+(AF$33*VALORI!$B$5),0)</f>
        <v>0</v>
      </c>
      <c r="AG74" s="28">
        <f>IF(AG28&gt;0, (AG$30*VALORI!$B$4)+(AG$31*VALORI!$B$4)+(AG$32*VALORI!$B$3)+(AG$33*VALORI!$B$5),0)</f>
        <v>0</v>
      </c>
      <c r="AH74" s="28">
        <f>IF(AH28&gt;0, (AH$30*VALORI!$B$4)+(AH$31*VALORI!$B$4)+(AH$32*VALORI!$B$3)+(AH$33*VALORI!$B$5),0)</f>
        <v>0</v>
      </c>
      <c r="AI74" s="28">
        <f>IF(AI28&gt;0, (AI$30*VALORI!$B$4)+(AI$31*VALORI!$B$4)+(AI$32*VALORI!$B$3)+(AI$33*VALORI!$B$5),0)</f>
        <v>0</v>
      </c>
      <c r="AJ74" s="28">
        <f>IF(AJ28&gt;0, (AJ$30*VALORI!$B$4)+(AJ$31*VALORI!$B$4)+(AJ$32*VALORI!$B$3)+(AJ$33*VALORI!$B$5),0)</f>
        <v>0</v>
      </c>
      <c r="AK74" s="28">
        <f>IF(AK28&gt;0, (AK$30*VALORI!$B$4)+(AK$31*VALORI!$B$4)+(AK$32*VALORI!$B$3)+(AK$33*VALORI!$B$5),0)</f>
        <v>0</v>
      </c>
      <c r="AL74" s="28">
        <f>IF(AL28&gt;0, (AL$30*VALORI!$B$4)+(AL$31*VALORI!$B$4)+(AL$32*VALORI!$B$3)+(AL$33*VALORI!$B$5),0)</f>
        <v>0</v>
      </c>
      <c r="AM74" s="28">
        <f>IF(AM28&gt;0, (AM$30*VALORI!$B$4)+(AM$31*VALORI!$B$4)+(AM$32*VALORI!$B$3)+(AM$33*VALORI!$B$5),0)</f>
        <v>0</v>
      </c>
      <c r="AN74" s="28">
        <f>IF(AN28&gt;0, (AN$30*VALORI!$B$4)+(AN$31*VALORI!$B$4)+(AN$32*VALORI!$B$3)+(AN$33*VALORI!$B$5),0)</f>
        <v>0</v>
      </c>
      <c r="AO74" s="28">
        <f>IF(AO28&gt;0, (AO$30*VALORI!$B$4)+(AO$31*VALORI!$B$4)+(AO$32*VALORI!$B$3)+(AO$33*VALORI!$B$5),0)</f>
        <v>0</v>
      </c>
      <c r="AQ74" s="28">
        <f>IF(AQ28&gt;0, (AQ$30*VALORI!$B$4)+(AQ$31*VALORI!$B$4)+(AQ$32*VALORI!$B$3)+(AQ$33*VALORI!$B$5),0)</f>
        <v>0</v>
      </c>
      <c r="AR74" s="28">
        <f>IF(AR28&gt;0, (AR$30*VALORI!$B$4)+(AR$31*VALORI!$B$4)+(AR$32*VALORI!$B$3)+(AR$33*VALORI!$B$5),0)</f>
        <v>0</v>
      </c>
      <c r="AS74" s="28">
        <f>IF(AS28&gt;0, (AS$30*VALORI!$B$4)+(AS$31*VALORI!$B$4)+(AS$32*VALORI!$B$3)+(AS$33*VALORI!$B$5),0)</f>
        <v>0</v>
      </c>
      <c r="AT74" s="28">
        <f>IF(AT28&gt;0, (AT$30*VALORI!$B$4)+(AT$31*VALORI!$B$4)+(AT$32*VALORI!$B$3)+(AT$33*VALORI!$B$5),0)</f>
        <v>0</v>
      </c>
    </row>
  </sheetData>
  <sheetProtection algorithmName="SHA-512" hashValue="IDfKM98PezSILyamlhrmER7/ncjyfNGuHUZsKAV1YaonNC3YJQu5uTo1aSym2TGIbN2T3W/rJ0yNlOdMf0NpGQ==" saltValue="JQVl6B2jabUROplVhQ8fSQ==" spinCount="100000" sheet="1" objects="1" scenarios="1"/>
  <mergeCells count="2">
    <mergeCell ref="A1:U1"/>
    <mergeCell ref="O30:P33"/>
  </mergeCells>
  <pageMargins left="0.23622047244094491" right="0.23622047244094491" top="0.74803149606299213" bottom="0.74803149606299213" header="0.31496062992125984" footer="0.31496062992125984"/>
  <pageSetup paperSize="9" scale="60" fitToWidth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U74"/>
  <sheetViews>
    <sheetView zoomScale="70" zoomScaleNormal="70" workbookViewId="0">
      <selection activeCell="A21" sqref="A21:XFD29"/>
    </sheetView>
  </sheetViews>
  <sheetFormatPr defaultRowHeight="15" x14ac:dyDescent="0.25"/>
  <cols>
    <col min="1" max="1" width="34.5703125" bestFit="1" customWidth="1"/>
    <col min="2" max="2" width="23.28515625" customWidth="1"/>
    <col min="3" max="3" width="26" bestFit="1" customWidth="1"/>
    <col min="4" max="4" width="15" customWidth="1"/>
    <col min="5" max="5" width="22.28515625" customWidth="1"/>
    <col min="6" max="8" width="8.28515625" customWidth="1"/>
    <col min="9" max="14" width="5.7109375" customWidth="1"/>
    <col min="15" max="15" width="13.28515625" customWidth="1"/>
    <col min="16" max="16" width="12.85546875" bestFit="1" customWidth="1"/>
    <col min="17" max="18" width="13.140625" bestFit="1" customWidth="1"/>
    <col min="19" max="19" width="37.5703125" customWidth="1"/>
    <col min="20" max="20" width="14" bestFit="1" customWidth="1"/>
    <col min="21" max="21" width="14.5703125" customWidth="1"/>
    <col min="23" max="23" width="12.140625" customWidth="1"/>
    <col min="24" max="26" width="12.85546875" bestFit="1" customWidth="1"/>
    <col min="27" max="27" width="12.140625" customWidth="1"/>
    <col min="28" max="28" width="11.5703125" customWidth="1"/>
    <col min="29" max="33" width="12.140625" bestFit="1" customWidth="1"/>
    <col min="34" max="34" width="12.140625" customWidth="1"/>
    <col min="35" max="35" width="12.42578125" customWidth="1"/>
    <col min="36" max="37" width="12.140625" customWidth="1"/>
    <col min="38" max="38" width="12.85546875" bestFit="1" customWidth="1"/>
    <col min="39" max="39" width="11.140625" bestFit="1" customWidth="1"/>
  </cols>
  <sheetData>
    <row r="1" spans="1:47" ht="21" customHeight="1" thickBot="1" x14ac:dyDescent="0.35">
      <c r="A1" s="215" t="s">
        <v>239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7"/>
      <c r="W1" s="51" t="s">
        <v>13</v>
      </c>
      <c r="X1" s="51" t="s">
        <v>13</v>
      </c>
      <c r="Y1" s="38" t="s">
        <v>13</v>
      </c>
      <c r="Z1" s="38" t="s">
        <v>13</v>
      </c>
      <c r="AA1" s="50" t="s">
        <v>13</v>
      </c>
      <c r="AB1" s="50"/>
      <c r="AC1" s="45" t="s">
        <v>13</v>
      </c>
      <c r="AD1" s="44" t="s">
        <v>13</v>
      </c>
      <c r="AE1" s="44" t="s">
        <v>13</v>
      </c>
      <c r="AF1" s="44" t="s">
        <v>13</v>
      </c>
      <c r="AG1" s="44" t="s">
        <v>13</v>
      </c>
      <c r="AH1" s="45" t="s">
        <v>13</v>
      </c>
      <c r="AI1" s="45" t="s">
        <v>13</v>
      </c>
      <c r="AJ1" s="46" t="s">
        <v>13</v>
      </c>
      <c r="AK1" s="46" t="s">
        <v>13</v>
      </c>
      <c r="AL1" s="46" t="s">
        <v>13</v>
      </c>
      <c r="AM1" s="37" t="s">
        <v>13</v>
      </c>
    </row>
    <row r="2" spans="1:47" ht="200.25" customHeight="1" x14ac:dyDescent="0.25">
      <c r="A2" s="6" t="s">
        <v>240</v>
      </c>
      <c r="B2" s="6" t="s">
        <v>15</v>
      </c>
      <c r="C2" s="6" t="s">
        <v>241</v>
      </c>
      <c r="D2" s="16" t="s">
        <v>242</v>
      </c>
      <c r="E2" s="17" t="s">
        <v>19</v>
      </c>
      <c r="F2" s="93" t="s">
        <v>157</v>
      </c>
      <c r="G2" s="17"/>
      <c r="H2" s="17"/>
      <c r="I2" s="14" t="s">
        <v>21</v>
      </c>
      <c r="J2" s="14" t="s">
        <v>22</v>
      </c>
      <c r="K2" s="14" t="s">
        <v>23</v>
      </c>
      <c r="L2" s="14" t="s">
        <v>24</v>
      </c>
      <c r="M2" s="14" t="s">
        <v>25</v>
      </c>
      <c r="N2" s="14" t="s">
        <v>26</v>
      </c>
      <c r="O2" s="18" t="s">
        <v>243</v>
      </c>
      <c r="P2" s="15" t="s">
        <v>28</v>
      </c>
      <c r="Q2" s="20" t="s">
        <v>29</v>
      </c>
      <c r="R2" s="22" t="s">
        <v>30</v>
      </c>
      <c r="S2" s="21" t="s">
        <v>301</v>
      </c>
      <c r="T2" s="31" t="s">
        <v>31</v>
      </c>
      <c r="U2" s="31" t="s">
        <v>32</v>
      </c>
      <c r="W2" s="36" t="s">
        <v>33</v>
      </c>
      <c r="X2" s="36" t="s">
        <v>34</v>
      </c>
      <c r="Y2" s="36" t="s">
        <v>35</v>
      </c>
      <c r="Z2" s="36" t="s">
        <v>36</v>
      </c>
      <c r="AA2" s="36" t="s">
        <v>37</v>
      </c>
      <c r="AB2" s="36" t="s">
        <v>318</v>
      </c>
      <c r="AC2" s="36" t="s">
        <v>38</v>
      </c>
      <c r="AD2" s="36" t="s">
        <v>39</v>
      </c>
      <c r="AE2" s="36" t="s">
        <v>40</v>
      </c>
      <c r="AF2" s="36" t="s">
        <v>41</v>
      </c>
      <c r="AG2" s="36" t="s">
        <v>42</v>
      </c>
      <c r="AH2" s="36" t="s">
        <v>43</v>
      </c>
      <c r="AI2" s="36" t="s">
        <v>326</v>
      </c>
      <c r="AJ2" s="36"/>
      <c r="AK2" s="36"/>
      <c r="AL2" s="36" t="s">
        <v>46</v>
      </c>
      <c r="AM2" s="36" t="s">
        <v>47</v>
      </c>
    </row>
    <row r="3" spans="1:47" s="1" customFormat="1" ht="20.25" customHeight="1" x14ac:dyDescent="0.35">
      <c r="A3" s="12" t="s">
        <v>244</v>
      </c>
      <c r="B3" s="32" t="s">
        <v>245</v>
      </c>
      <c r="C3" s="32" t="s">
        <v>246</v>
      </c>
      <c r="D3" s="32" t="s">
        <v>247</v>
      </c>
      <c r="E3" s="32" t="s">
        <v>248</v>
      </c>
      <c r="F3" s="32"/>
      <c r="G3" s="32"/>
      <c r="H3" s="32"/>
      <c r="I3" s="40">
        <v>120</v>
      </c>
      <c r="J3" s="41">
        <v>120</v>
      </c>
      <c r="K3" s="41">
        <v>80</v>
      </c>
      <c r="L3" s="41">
        <v>500</v>
      </c>
      <c r="M3" s="41">
        <v>65</v>
      </c>
      <c r="N3" s="41">
        <v>120</v>
      </c>
      <c r="O3" s="23">
        <f>(VALORI!B$3 * GM!I3) + (VALORI!B$4 * GM!J3) + (VALORI!B$4 * GM!K3) + (VALORI!B$5 * GM!L3) + (VALORI!B$6 * GM!M3) + (VALORI!B$7 * GM!N3)</f>
        <v>32985</v>
      </c>
      <c r="P3" s="24">
        <f>(O3*25%)+O3</f>
        <v>41231.25</v>
      </c>
      <c r="Q3" s="25">
        <v>92792.7</v>
      </c>
      <c r="R3" s="26">
        <f>(Q3*20%)+Q3</f>
        <v>111351.23999999999</v>
      </c>
      <c r="S3" s="27" t="s">
        <v>249</v>
      </c>
      <c r="T3" s="28">
        <f t="shared" ref="T3:U7" si="0">O3+Q3</f>
        <v>125777.7</v>
      </c>
      <c r="U3" s="28">
        <f t="shared" si="0"/>
        <v>152582.49</v>
      </c>
      <c r="V3" s="35" t="s">
        <v>55</v>
      </c>
      <c r="W3" s="28">
        <f>(Q3*6%)</f>
        <v>5567.5619999999999</v>
      </c>
      <c r="X3" s="28">
        <f>(Q3*20%)</f>
        <v>18558.54</v>
      </c>
      <c r="Y3" s="28">
        <v>10000</v>
      </c>
      <c r="Z3" s="28">
        <f>(Y3*65%)+Y3</f>
        <v>16500</v>
      </c>
      <c r="AA3" s="28">
        <v>3800</v>
      </c>
      <c r="AB3" s="28">
        <v>5500</v>
      </c>
      <c r="AC3" s="28">
        <v>1300</v>
      </c>
      <c r="AD3" s="28">
        <v>8000</v>
      </c>
      <c r="AE3" s="28">
        <v>2200</v>
      </c>
      <c r="AF3" s="28">
        <v>2800</v>
      </c>
      <c r="AG3" s="28">
        <v>1100</v>
      </c>
      <c r="AH3" s="28">
        <v>800</v>
      </c>
      <c r="AI3" s="28">
        <v>2100</v>
      </c>
      <c r="AJ3" s="28"/>
      <c r="AK3" s="28"/>
      <c r="AL3" s="28">
        <v>14000</v>
      </c>
      <c r="AM3" s="28">
        <v>8000</v>
      </c>
    </row>
    <row r="4" spans="1:47" s="1" customFormat="1" ht="20.25" customHeight="1" x14ac:dyDescent="0.35">
      <c r="A4" s="12" t="s">
        <v>250</v>
      </c>
      <c r="B4" s="32" t="s">
        <v>251</v>
      </c>
      <c r="C4" s="32" t="s">
        <v>252</v>
      </c>
      <c r="D4" s="32" t="s">
        <v>253</v>
      </c>
      <c r="E4" s="32" t="s">
        <v>254</v>
      </c>
      <c r="F4" s="32"/>
      <c r="G4" s="32"/>
      <c r="H4" s="32"/>
      <c r="I4" s="40">
        <v>120</v>
      </c>
      <c r="J4" s="41">
        <v>120</v>
      </c>
      <c r="K4" s="41">
        <v>80</v>
      </c>
      <c r="L4" s="41">
        <v>550</v>
      </c>
      <c r="M4" s="41">
        <v>70</v>
      </c>
      <c r="N4" s="41">
        <v>120</v>
      </c>
      <c r="O4" s="23">
        <f>(VALORI!B$3 * GM!I4) + (VALORI!B$4 * GM!J4) + (VALORI!B$4 * GM!K4) + (VALORI!B$5 * GM!L4) + (VALORI!B$6 * GM!M4) + (VALORI!B$7 * GM!N4)</f>
        <v>34580</v>
      </c>
      <c r="P4" s="24">
        <f t="shared" ref="P4:P7" si="1">(O4*25%)+O4</f>
        <v>43225</v>
      </c>
      <c r="Q4" s="25">
        <v>108876.76800000001</v>
      </c>
      <c r="R4" s="26">
        <f t="shared" ref="R4:R9" si="2">(Q4*20%)+Q4</f>
        <v>130652.12160000001</v>
      </c>
      <c r="S4" s="27" t="s">
        <v>255</v>
      </c>
      <c r="T4" s="28">
        <f t="shared" si="0"/>
        <v>143456.76800000001</v>
      </c>
      <c r="U4" s="28">
        <f t="shared" si="0"/>
        <v>173877.12160000001</v>
      </c>
      <c r="V4" s="35" t="s">
        <v>55</v>
      </c>
      <c r="W4" s="28">
        <f>(Q4*6%)</f>
        <v>6532.6060800000005</v>
      </c>
      <c r="X4" s="28">
        <f>(Q4*20%)</f>
        <v>21775.353600000002</v>
      </c>
      <c r="Y4" s="28">
        <v>10000</v>
      </c>
      <c r="Z4" s="28">
        <f>(Y4*65%)+Y4</f>
        <v>16500</v>
      </c>
      <c r="AA4" s="28">
        <v>3800</v>
      </c>
      <c r="AB4" s="28">
        <v>5500</v>
      </c>
      <c r="AC4" s="28">
        <v>1300</v>
      </c>
      <c r="AD4" s="28">
        <v>8000</v>
      </c>
      <c r="AE4" s="28">
        <v>2200</v>
      </c>
      <c r="AF4" s="28">
        <v>2800</v>
      </c>
      <c r="AG4" s="28">
        <v>1100</v>
      </c>
      <c r="AH4" s="28">
        <v>2000</v>
      </c>
      <c r="AI4" s="28">
        <v>4200</v>
      </c>
      <c r="AJ4" s="28"/>
      <c r="AK4" s="28"/>
      <c r="AL4" s="28">
        <v>17000</v>
      </c>
      <c r="AM4" s="28">
        <v>8000</v>
      </c>
    </row>
    <row r="5" spans="1:47" s="1" customFormat="1" ht="20.25" customHeight="1" x14ac:dyDescent="0.35">
      <c r="A5" s="12" t="s">
        <v>256</v>
      </c>
      <c r="B5" s="32" t="s">
        <v>251</v>
      </c>
      <c r="C5" s="32" t="s">
        <v>252</v>
      </c>
      <c r="D5" s="32" t="s">
        <v>253</v>
      </c>
      <c r="E5" s="32" t="s">
        <v>257</v>
      </c>
      <c r="F5" s="32"/>
      <c r="G5" s="32"/>
      <c r="H5" s="32"/>
      <c r="I5" s="41">
        <v>140</v>
      </c>
      <c r="J5" s="41">
        <v>140</v>
      </c>
      <c r="K5" s="41">
        <v>100</v>
      </c>
      <c r="L5" s="41">
        <v>600</v>
      </c>
      <c r="M5" s="41">
        <v>70</v>
      </c>
      <c r="N5" s="41">
        <v>120</v>
      </c>
      <c r="O5" s="23">
        <f>(VALORI!B$3 * GM!I5) + (VALORI!B$4 * GM!J5) + (VALORI!B$4 * GM!K5) + (VALORI!B$5 * GM!L5) + (VALORI!B$6 * GM!M5) + (VALORI!B$7 * GM!N5)</f>
        <v>38290</v>
      </c>
      <c r="P5" s="24">
        <f t="shared" si="1"/>
        <v>47862.5</v>
      </c>
      <c r="Q5" s="25">
        <v>113825.712</v>
      </c>
      <c r="R5" s="26">
        <f t="shared" si="2"/>
        <v>136590.85440000001</v>
      </c>
      <c r="S5" s="27" t="s">
        <v>255</v>
      </c>
      <c r="T5" s="28">
        <f t="shared" si="0"/>
        <v>152115.712</v>
      </c>
      <c r="U5" s="28">
        <f t="shared" si="0"/>
        <v>184453.35440000001</v>
      </c>
      <c r="V5" s="35" t="s">
        <v>55</v>
      </c>
      <c r="W5" s="28">
        <f t="shared" ref="W5:W7" si="3">(Q5*6%)</f>
        <v>6829.5427199999995</v>
      </c>
      <c r="X5" s="28">
        <f t="shared" ref="X5:X7" si="4">(Q5*20%)</f>
        <v>22765.142400000001</v>
      </c>
      <c r="Y5" s="28">
        <v>10000</v>
      </c>
      <c r="Z5" s="28">
        <f t="shared" ref="Z5:Z7" si="5">(Y5*65%)+Y5</f>
        <v>16500</v>
      </c>
      <c r="AA5" s="28">
        <v>3800</v>
      </c>
      <c r="AB5" s="28">
        <v>5500</v>
      </c>
      <c r="AC5" s="28">
        <v>1300</v>
      </c>
      <c r="AD5" s="28">
        <v>8000</v>
      </c>
      <c r="AE5" s="28">
        <v>2200</v>
      </c>
      <c r="AF5" s="28">
        <v>2800</v>
      </c>
      <c r="AG5" s="28">
        <v>1100</v>
      </c>
      <c r="AH5" s="28">
        <v>2000</v>
      </c>
      <c r="AI5" s="28">
        <v>4200</v>
      </c>
      <c r="AJ5" s="28"/>
      <c r="AK5" s="28"/>
      <c r="AL5" s="28">
        <v>20000</v>
      </c>
      <c r="AM5" s="28">
        <v>8000</v>
      </c>
    </row>
    <row r="6" spans="1:47" s="1" customFormat="1" ht="19.5" customHeight="1" x14ac:dyDescent="0.35">
      <c r="A6" s="12" t="s">
        <v>258</v>
      </c>
      <c r="B6" s="32" t="s">
        <v>259</v>
      </c>
      <c r="C6" s="32" t="s">
        <v>252</v>
      </c>
      <c r="D6" s="32" t="s">
        <v>253</v>
      </c>
      <c r="E6" s="32" t="s">
        <v>260</v>
      </c>
      <c r="F6" s="32"/>
      <c r="G6" s="32"/>
      <c r="H6" s="32"/>
      <c r="I6" s="41">
        <v>150</v>
      </c>
      <c r="J6" s="41">
        <v>140</v>
      </c>
      <c r="K6" s="41">
        <v>100</v>
      </c>
      <c r="L6" s="41">
        <v>650</v>
      </c>
      <c r="M6" s="41">
        <v>80</v>
      </c>
      <c r="N6" s="41">
        <v>150</v>
      </c>
      <c r="O6" s="23">
        <f>(VALORI!B$3 * GM!I6) + (VALORI!B$4 * GM!J6) + (VALORI!B$4 * GM!K6) + (VALORI!B$5 * GM!L6) + (VALORI!B$6 * GM!M6) + (VALORI!B$7 * GM!N6)</f>
        <v>41540</v>
      </c>
      <c r="P6" s="24">
        <f t="shared" si="1"/>
        <v>51925</v>
      </c>
      <c r="Q6" s="25">
        <v>121249.12800000001</v>
      </c>
      <c r="R6" s="26">
        <f t="shared" si="2"/>
        <v>145498.95360000001</v>
      </c>
      <c r="S6" s="27" t="s">
        <v>261</v>
      </c>
      <c r="T6" s="28">
        <f t="shared" si="0"/>
        <v>162789.12800000003</v>
      </c>
      <c r="U6" s="28">
        <f t="shared" si="0"/>
        <v>197423.95360000001</v>
      </c>
      <c r="V6" s="35" t="s">
        <v>55</v>
      </c>
      <c r="W6" s="28">
        <f t="shared" si="3"/>
        <v>7274.9476800000002</v>
      </c>
      <c r="X6" s="28">
        <f t="shared" si="4"/>
        <v>24249.825600000004</v>
      </c>
      <c r="Y6" s="28">
        <v>12000</v>
      </c>
      <c r="Z6" s="28">
        <f t="shared" si="5"/>
        <v>19800</v>
      </c>
      <c r="AA6" s="28">
        <v>3800</v>
      </c>
      <c r="AB6" s="28">
        <v>5500</v>
      </c>
      <c r="AC6" s="28">
        <v>1300</v>
      </c>
      <c r="AD6" s="28">
        <v>8000</v>
      </c>
      <c r="AE6" s="28">
        <v>2200</v>
      </c>
      <c r="AF6" s="28">
        <v>2800</v>
      </c>
      <c r="AG6" s="28">
        <v>1100</v>
      </c>
      <c r="AH6" s="28">
        <v>4000</v>
      </c>
      <c r="AI6" s="28">
        <v>4200</v>
      </c>
      <c r="AJ6" s="28"/>
      <c r="AK6" s="28"/>
      <c r="AL6" s="28">
        <v>22000</v>
      </c>
      <c r="AM6" s="28">
        <v>8000</v>
      </c>
    </row>
    <row r="7" spans="1:47" s="1" customFormat="1" ht="20.25" customHeight="1" x14ac:dyDescent="0.35">
      <c r="A7" s="12" t="s">
        <v>262</v>
      </c>
      <c r="B7" s="32" t="s">
        <v>259</v>
      </c>
      <c r="C7" s="32" t="s">
        <v>252</v>
      </c>
      <c r="D7" s="32" t="s">
        <v>253</v>
      </c>
      <c r="E7" s="32" t="s">
        <v>263</v>
      </c>
      <c r="F7" s="32"/>
      <c r="G7" s="32"/>
      <c r="H7" s="32"/>
      <c r="I7" s="41">
        <v>150</v>
      </c>
      <c r="J7" s="41">
        <v>140</v>
      </c>
      <c r="K7" s="41">
        <v>100</v>
      </c>
      <c r="L7" s="41">
        <v>700</v>
      </c>
      <c r="M7" s="41">
        <v>80</v>
      </c>
      <c r="N7" s="41">
        <v>150</v>
      </c>
      <c r="O7" s="23">
        <f>(VALORI!B$3 * GM!I7) + (VALORI!B$4 * GM!J7) + (VALORI!B$4 * GM!K7) + (VALORI!B$5 * GM!L7) + (VALORI!B$6 * GM!M7) + (VALORI!B$7 * GM!N7)</f>
        <v>42990</v>
      </c>
      <c r="P7" s="24">
        <f t="shared" si="1"/>
        <v>53737.5</v>
      </c>
      <c r="Q7" s="25">
        <v>142282.14000000001</v>
      </c>
      <c r="R7" s="26">
        <f t="shared" si="2"/>
        <v>170738.56800000003</v>
      </c>
      <c r="S7" s="27" t="s">
        <v>261</v>
      </c>
      <c r="T7" s="28">
        <f t="shared" si="0"/>
        <v>185272.14</v>
      </c>
      <c r="U7" s="28">
        <f t="shared" si="0"/>
        <v>224476.06800000003</v>
      </c>
      <c r="V7" s="35" t="s">
        <v>55</v>
      </c>
      <c r="W7" s="28">
        <f t="shared" si="3"/>
        <v>8536.9284000000007</v>
      </c>
      <c r="X7" s="28">
        <f t="shared" si="4"/>
        <v>28456.428000000004</v>
      </c>
      <c r="Y7" s="28">
        <v>12000</v>
      </c>
      <c r="Z7" s="28">
        <f t="shared" si="5"/>
        <v>19800</v>
      </c>
      <c r="AA7" s="28">
        <v>3800</v>
      </c>
      <c r="AB7" s="28">
        <v>5500</v>
      </c>
      <c r="AC7" s="28">
        <v>1300</v>
      </c>
      <c r="AD7" s="28">
        <v>8000</v>
      </c>
      <c r="AE7" s="28">
        <v>2200</v>
      </c>
      <c r="AF7" s="28">
        <v>2800</v>
      </c>
      <c r="AG7" s="28">
        <v>1100</v>
      </c>
      <c r="AH7" s="28">
        <v>4000</v>
      </c>
      <c r="AI7" s="28">
        <v>4200</v>
      </c>
      <c r="AJ7" s="28"/>
      <c r="AK7" s="28"/>
      <c r="AL7" s="28">
        <v>26000</v>
      </c>
      <c r="AM7" s="28">
        <v>8000</v>
      </c>
    </row>
    <row r="8" spans="1:47" x14ac:dyDescent="0.25">
      <c r="I8" s="4"/>
    </row>
    <row r="9" spans="1:47" s="1" customFormat="1" ht="20.25" customHeight="1" x14ac:dyDescent="0.35">
      <c r="A9" s="12" t="s">
        <v>250</v>
      </c>
      <c r="B9" s="32" t="s">
        <v>251</v>
      </c>
      <c r="C9" s="32" t="s">
        <v>252</v>
      </c>
      <c r="D9" s="32" t="s">
        <v>253</v>
      </c>
      <c r="E9" s="32" t="s">
        <v>338</v>
      </c>
      <c r="F9" s="32" t="s">
        <v>336</v>
      </c>
      <c r="G9" s="32"/>
      <c r="H9" s="32"/>
      <c r="I9" s="40">
        <v>200</v>
      </c>
      <c r="J9" s="41">
        <v>160</v>
      </c>
      <c r="K9" s="41">
        <v>120</v>
      </c>
      <c r="L9" s="41">
        <v>650</v>
      </c>
      <c r="M9" s="41">
        <v>120</v>
      </c>
      <c r="N9" s="41">
        <v>160</v>
      </c>
      <c r="O9" s="23">
        <f>(VALORI!B$3 * GM!I9) + (VALORI!B$4 * GM!J9) + (VALORI!B$4 * GM!K9) + (VALORI!B$5 * GM!L9) + (VALORI!B$6 * GM!M9) + (VALORI!B$7 * GM!N9)</f>
        <v>46450</v>
      </c>
      <c r="P9" s="24">
        <f t="shared" ref="P9" si="6">(O9*25%)+O9</f>
        <v>58062.5</v>
      </c>
      <c r="Q9" s="25">
        <v>131651.51</v>
      </c>
      <c r="R9" s="26">
        <f t="shared" si="2"/>
        <v>157981.81200000001</v>
      </c>
      <c r="S9" s="27" t="s">
        <v>337</v>
      </c>
      <c r="T9" s="28">
        <f t="shared" ref="T9" si="7">O9+Q9</f>
        <v>178101.51</v>
      </c>
      <c r="U9" s="28">
        <f t="shared" ref="U9" si="8">P9+R9</f>
        <v>216044.31200000001</v>
      </c>
      <c r="V9" s="35" t="s">
        <v>55</v>
      </c>
      <c r="W9" s="28">
        <f>(Q9*6%)</f>
        <v>7899.0906000000004</v>
      </c>
      <c r="X9" s="28">
        <f>(Q9*20%)</f>
        <v>26330.302000000003</v>
      </c>
      <c r="Y9" s="28">
        <v>10000</v>
      </c>
      <c r="Z9" s="28">
        <f>(Y9*65%)+Y9</f>
        <v>16500</v>
      </c>
      <c r="AA9" s="28">
        <v>3800</v>
      </c>
      <c r="AB9" s="28">
        <v>5500</v>
      </c>
      <c r="AC9" s="28">
        <v>1300</v>
      </c>
      <c r="AD9" s="28">
        <v>8000</v>
      </c>
      <c r="AE9" s="28">
        <v>2200</v>
      </c>
      <c r="AF9" s="28">
        <v>2800</v>
      </c>
      <c r="AG9" s="28">
        <v>1100</v>
      </c>
      <c r="AH9" s="28">
        <v>2000</v>
      </c>
      <c r="AI9" s="28">
        <v>4200</v>
      </c>
      <c r="AJ9" s="28"/>
      <c r="AK9" s="28"/>
      <c r="AL9" s="28">
        <v>17000</v>
      </c>
      <c r="AM9" s="28">
        <v>8000</v>
      </c>
    </row>
    <row r="10" spans="1:47" x14ac:dyDescent="0.25">
      <c r="I10" s="4"/>
    </row>
    <row r="16" spans="1:47" ht="15.75" x14ac:dyDescent="0.25">
      <c r="AP16" s="49"/>
      <c r="AU16" s="49"/>
    </row>
    <row r="29" spans="9:39" x14ac:dyDescent="0.25">
      <c r="I29" s="4"/>
    </row>
    <row r="30" spans="9:39" ht="15.75" customHeight="1" x14ac:dyDescent="0.25">
      <c r="O30" s="218" t="s">
        <v>115</v>
      </c>
      <c r="P30" s="219"/>
      <c r="Q30" s="28" t="s">
        <v>116</v>
      </c>
      <c r="R30" s="28" t="s">
        <v>63</v>
      </c>
      <c r="S30" s="5"/>
      <c r="T30" s="28"/>
      <c r="U30" s="28"/>
      <c r="V30" s="28"/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4</v>
      </c>
      <c r="AD30" s="53">
        <v>8</v>
      </c>
      <c r="AE30" s="53">
        <v>8</v>
      </c>
      <c r="AF30" s="53">
        <v>8</v>
      </c>
      <c r="AG30" s="53">
        <v>8</v>
      </c>
      <c r="AH30" s="53">
        <v>0</v>
      </c>
      <c r="AI30" s="53">
        <v>8</v>
      </c>
      <c r="AJ30" s="53"/>
      <c r="AK30" s="53"/>
      <c r="AL30" s="53">
        <v>40</v>
      </c>
      <c r="AM30" s="53">
        <v>0</v>
      </c>
    </row>
    <row r="31" spans="9:39" ht="15.75" customHeight="1" x14ac:dyDescent="0.25">
      <c r="I31" s="2"/>
      <c r="O31" s="220"/>
      <c r="P31" s="221"/>
      <c r="Q31" s="28" t="s">
        <v>117</v>
      </c>
      <c r="R31" s="28" t="s">
        <v>63</v>
      </c>
      <c r="S31" s="5"/>
      <c r="T31" s="28"/>
      <c r="U31" s="28"/>
      <c r="V31" s="28"/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8</v>
      </c>
      <c r="AD31" s="53">
        <v>8</v>
      </c>
      <c r="AE31" s="53">
        <v>8</v>
      </c>
      <c r="AF31" s="53">
        <v>8</v>
      </c>
      <c r="AG31" s="53">
        <v>8</v>
      </c>
      <c r="AH31" s="53">
        <v>0</v>
      </c>
      <c r="AI31" s="53">
        <v>8</v>
      </c>
      <c r="AJ31" s="53"/>
      <c r="AK31" s="53"/>
      <c r="AL31" s="53">
        <v>40</v>
      </c>
      <c r="AM31" s="53">
        <v>0</v>
      </c>
    </row>
    <row r="32" spans="9:39" ht="15.75" customHeight="1" x14ac:dyDescent="0.25">
      <c r="I32" s="2"/>
      <c r="O32" s="220"/>
      <c r="P32" s="221"/>
      <c r="Q32" s="28" t="s">
        <v>118</v>
      </c>
      <c r="R32" s="53">
        <v>30</v>
      </c>
      <c r="S32" s="5"/>
      <c r="T32" s="28"/>
      <c r="U32" s="28"/>
      <c r="V32" s="28"/>
      <c r="W32" s="53">
        <v>10</v>
      </c>
      <c r="X32" s="53">
        <v>30</v>
      </c>
      <c r="Y32" s="53">
        <v>8</v>
      </c>
      <c r="Z32" s="53">
        <v>8</v>
      </c>
      <c r="AA32" s="53">
        <v>8</v>
      </c>
      <c r="AB32" s="53">
        <v>2</v>
      </c>
      <c r="AC32" s="53">
        <v>6</v>
      </c>
      <c r="AD32" s="53">
        <v>8</v>
      </c>
      <c r="AE32" s="53">
        <v>10</v>
      </c>
      <c r="AF32" s="53">
        <v>10</v>
      </c>
      <c r="AG32" s="53">
        <v>10</v>
      </c>
      <c r="AH32" s="53">
        <v>4</v>
      </c>
      <c r="AI32" s="53">
        <v>8</v>
      </c>
      <c r="AJ32" s="53"/>
      <c r="AK32" s="53"/>
      <c r="AL32" s="53">
        <v>50</v>
      </c>
      <c r="AM32" s="53">
        <v>15</v>
      </c>
    </row>
    <row r="33" spans="9:46" ht="15.75" customHeight="1" x14ac:dyDescent="0.25">
      <c r="I33" s="2"/>
      <c r="O33" s="222"/>
      <c r="P33" s="223"/>
      <c r="Q33" s="28" t="s">
        <v>119</v>
      </c>
      <c r="R33" s="53">
        <v>90</v>
      </c>
      <c r="S33" s="5"/>
      <c r="T33" s="28"/>
      <c r="U33" s="28"/>
      <c r="V33" s="28"/>
      <c r="W33" s="53">
        <v>30</v>
      </c>
      <c r="X33" s="53">
        <v>90</v>
      </c>
      <c r="Y33" s="53">
        <v>24</v>
      </c>
      <c r="Z33" s="53">
        <v>24</v>
      </c>
      <c r="AA33" s="53">
        <v>20</v>
      </c>
      <c r="AB33" s="53">
        <v>1</v>
      </c>
      <c r="AC33" s="53">
        <v>4</v>
      </c>
      <c r="AD33" s="53">
        <v>50</v>
      </c>
      <c r="AE33" s="53">
        <v>10</v>
      </c>
      <c r="AF33" s="53">
        <v>5</v>
      </c>
      <c r="AG33" s="53">
        <v>5</v>
      </c>
      <c r="AH33" s="53">
        <v>0</v>
      </c>
      <c r="AI33" s="53">
        <v>24</v>
      </c>
      <c r="AJ33" s="53"/>
      <c r="AK33" s="53"/>
      <c r="AL33" s="53">
        <v>50</v>
      </c>
      <c r="AM33" s="53">
        <v>3</v>
      </c>
    </row>
    <row r="37" spans="9:46" ht="54.75" x14ac:dyDescent="0.25">
      <c r="O37" s="85">
        <v>44731</v>
      </c>
      <c r="P37" t="s">
        <v>303</v>
      </c>
      <c r="Q37" s="85" t="s">
        <v>344</v>
      </c>
      <c r="R37" s="85" t="s">
        <v>345</v>
      </c>
      <c r="W37" s="94" t="s">
        <v>339</v>
      </c>
      <c r="X37" s="94" t="s">
        <v>339</v>
      </c>
      <c r="Y37" s="94" t="s">
        <v>339</v>
      </c>
      <c r="Z37" s="94" t="s">
        <v>339</v>
      </c>
      <c r="AA37" s="94" t="s">
        <v>339</v>
      </c>
      <c r="AB37" s="94" t="s">
        <v>339</v>
      </c>
      <c r="AC37" s="94" t="s">
        <v>339</v>
      </c>
      <c r="AD37" s="94" t="s">
        <v>339</v>
      </c>
      <c r="AE37" s="94" t="s">
        <v>339</v>
      </c>
      <c r="AF37" s="94" t="s">
        <v>339</v>
      </c>
      <c r="AG37" s="94" t="s">
        <v>339</v>
      </c>
      <c r="AH37" s="94" t="s">
        <v>339</v>
      </c>
      <c r="AI37" s="94" t="s">
        <v>339</v>
      </c>
      <c r="AJ37" s="94" t="s">
        <v>339</v>
      </c>
      <c r="AK37" s="94" t="s">
        <v>339</v>
      </c>
      <c r="AL37" s="94" t="s">
        <v>339</v>
      </c>
      <c r="AM37" s="94" t="s">
        <v>339</v>
      </c>
      <c r="AN37" s="94" t="s">
        <v>339</v>
      </c>
      <c r="AO37" s="94" t="s">
        <v>339</v>
      </c>
      <c r="AQ37" s="94" t="s">
        <v>339</v>
      </c>
      <c r="AR37" s="94" t="s">
        <v>339</v>
      </c>
      <c r="AS37" s="94" t="s">
        <v>339</v>
      </c>
      <c r="AT37" s="94" t="s">
        <v>339</v>
      </c>
    </row>
    <row r="38" spans="9:46" ht="15.75" x14ac:dyDescent="0.25">
      <c r="O38" s="25">
        <v>78750</v>
      </c>
      <c r="P38" s="25">
        <f>(O38*10%)+O38</f>
        <v>86625</v>
      </c>
      <c r="Q38" s="25">
        <f>(P38*4%)+P38</f>
        <v>90090</v>
      </c>
      <c r="R38" s="25">
        <f>(Q38*3%)+Q38</f>
        <v>92792.7</v>
      </c>
      <c r="W38" s="28">
        <f>IF(W3&gt;0, W3-(W$30*VALORI!$B$4)-(W$31*VALORI!$B$4)-(W$32*VALORI!$B$3)-(W$33*VALORI!$B$5),0)</f>
        <v>4327.5619999999999</v>
      </c>
      <c r="X38" s="28">
        <f>IF(X3&gt;0, X3-(X$30*VALORI!$B$4)-(X$31*VALORI!$B$4)-(X$32*VALORI!$B$3)-(X$33*VALORI!$B$5),0)</f>
        <v>14838.54</v>
      </c>
      <c r="Y38" s="28">
        <f>IF(Y3&gt;0, Y3-(Y$30*VALORI!$B$4)-(Y$31*VALORI!$B$4)-(Y$32*VALORI!$B$3)-(Y$33*VALORI!$B$5),0)</f>
        <v>9008</v>
      </c>
      <c r="Z38" s="28">
        <f>IF(Z3&gt;0, Z3-(Z$30*VALORI!$B$4)-(Z$31*VALORI!$B$4)-(Z$32*VALORI!$B$3)-(Z$33*VALORI!$B$5),0)</f>
        <v>15508</v>
      </c>
      <c r="AA38" s="28">
        <f>IF(AA3&gt;0, AA3-(AA$30*VALORI!$B$4)-(AA$31*VALORI!$B$4)-(AA$32*VALORI!$B$3)-(AA$33*VALORI!$B$5),0)</f>
        <v>2924</v>
      </c>
      <c r="AB38" s="28">
        <f>IF(AB3&gt;0, AB3-(AB$30*VALORI!$B$4)-(AB$31*VALORI!$B$4)-(AB$32*VALORI!$B$3)-(AB$33*VALORI!$B$5),0)</f>
        <v>5397</v>
      </c>
      <c r="AC38" s="28">
        <f>IF(AC3&gt;0, AC3-(AC$30*VALORI!$B$4)-(AC$31*VALORI!$B$4)-(AC$32*VALORI!$B$3)-(AC$33*VALORI!$B$5),0)</f>
        <v>506</v>
      </c>
      <c r="AD38" s="28">
        <f>IF(AD3&gt;0, AD3-(AD$30*VALORI!$B$4)-(AD$31*VALORI!$B$4)-(AD$32*VALORI!$B$3)-(AD$33*VALORI!$B$5),0)</f>
        <v>5646</v>
      </c>
      <c r="AE38" s="28">
        <f>IF(AE3&gt;0, AE3-(AE$30*VALORI!$B$4)-(AE$31*VALORI!$B$4)-(AE$32*VALORI!$B$3)-(AE$33*VALORI!$B$5),0)</f>
        <v>932</v>
      </c>
      <c r="AF38" s="28">
        <f>IF(AF3&gt;0, AF3-(AF$30*VALORI!$B$4)-(AF$31*VALORI!$B$4)-(AF$32*VALORI!$B$3)-(AF$33*VALORI!$B$5),0)</f>
        <v>1677</v>
      </c>
      <c r="AG38" s="28">
        <f>IF(AG3&gt;0, AG3-(AG$30*VALORI!$B$4)-(AG$31*VALORI!$B$4)-(AG$32*VALORI!$B$3)-(AG$33*VALORI!$B$5),0)</f>
        <v>-23</v>
      </c>
      <c r="AH38" s="28">
        <f>IF(AH3&gt;0, AH3-(AH$30*VALORI!$B$4)-(AH$31*VALORI!$B$4)-(AH$32*VALORI!$B$3)-(AH$33*VALORI!$B$5),0)</f>
        <v>652</v>
      </c>
      <c r="AI38" s="28">
        <f>IF(AI3&gt;0, AI3-(AI$30*VALORI!$B$4)-(AI$31*VALORI!$B$4)-(AI$32*VALORI!$B$3)-(AI$33*VALORI!$B$5),0)</f>
        <v>500</v>
      </c>
      <c r="AJ38" s="28">
        <f>IF(AJ3&gt;0, AJ3-(AJ$30*VALORI!$B$4)-(AJ$31*VALORI!$B$4)-(AJ$32*VALORI!$B$3)-(AJ$33*VALORI!$B$5),0)</f>
        <v>0</v>
      </c>
      <c r="AK38" s="28">
        <f>IF(AK3&gt;0, AK3-(AK$30*VALORI!$B$4)-(AK$31*VALORI!$B$4)-(AK$32*VALORI!$B$3)-(AK$33*VALORI!$B$5),0)</f>
        <v>0</v>
      </c>
      <c r="AL38" s="28">
        <f>IF(AL3&gt;0, AL3-(AL$30*VALORI!$B$4)-(AL$31*VALORI!$B$4)-(AL$32*VALORI!$B$3)-(AL$33*VALORI!$B$5),0)</f>
        <v>7660</v>
      </c>
      <c r="AM38" s="28">
        <f>IF(AM3&gt;0, AM3-(AM$30*VALORI!$B$4)-(AM$31*VALORI!$B$4)-(AM$32*VALORI!$B$3)-(AM$33*VALORI!$B$5),0)</f>
        <v>7358</v>
      </c>
      <c r="AN38" s="28">
        <f>IF(AN3&gt;0, AN3-(AN$30*VALORI!$B$4)-(AN$31*VALORI!$B$4)-(AN$32*VALORI!$B$3)-(AN$33*VALORI!$B$5),0)</f>
        <v>0</v>
      </c>
      <c r="AO38" s="28">
        <f>IF(AO3&gt;0, AO3-(AO$30*VALORI!$B$4)-(AO$31*VALORI!$B$4)-(AO$32*VALORI!$B$3)-(AO$33*VALORI!$B$5),0)</f>
        <v>0</v>
      </c>
      <c r="AQ38" s="28">
        <f>IF(AQ3&gt;0, AQ3-(AQ$30*VALORI!$B$4)-(AQ$31*VALORI!$B$4)-(AQ$32*VALORI!$B$3)-(AQ$33*VALORI!$B$5),0)</f>
        <v>0</v>
      </c>
      <c r="AR38" s="28">
        <f>IF(AR3&gt;0, AR3-(AR$30*VALORI!$B$4)-(AR$31*VALORI!$B$4)-(AR$32*VALORI!$B$3)-(AR$33*VALORI!$B$5),0)</f>
        <v>0</v>
      </c>
      <c r="AS38" s="28">
        <f>IF(AS3&gt;0, AS3-(AS$30*VALORI!$B$4)-(AS$31*VALORI!$B$4)-(AS$32*VALORI!$B$3)-(AS$33*VALORI!$B$5),0)</f>
        <v>0</v>
      </c>
      <c r="AT38" s="28">
        <f>IF(AT3&gt;0, AT3-(AT$30*VALORI!$B$4)-(AT$31*VALORI!$B$4)-(AT$32*VALORI!$B$3)-(AT$33*VALORI!$B$5),0)</f>
        <v>0</v>
      </c>
    </row>
    <row r="39" spans="9:46" ht="15.75" x14ac:dyDescent="0.25">
      <c r="O39" s="25">
        <v>92400</v>
      </c>
      <c r="P39" s="25">
        <f>(O39*10%)+O39</f>
        <v>101640</v>
      </c>
      <c r="Q39" s="25">
        <f t="shared" ref="Q39:Q42" si="9">(P39*4%)+P39</f>
        <v>105705.60000000001</v>
      </c>
      <c r="R39" s="25">
        <f t="shared" ref="R39:R44" si="10">(Q39*3%)+Q39</f>
        <v>108876.76800000001</v>
      </c>
      <c r="W39" s="28">
        <f>IF(W4&gt;0, W4-(W$30*VALORI!$B$4)-(W$31*VALORI!$B$4)-(W$32*VALORI!$B$3)-(W$33*VALORI!$B$5),0)</f>
        <v>5292.6060800000005</v>
      </c>
      <c r="X39" s="28">
        <f>IF(X4&gt;0, X4-(X$30*VALORI!$B$4)-(X$31*VALORI!$B$4)-(X$32*VALORI!$B$3)-(X$33*VALORI!$B$5),0)</f>
        <v>18055.353600000002</v>
      </c>
      <c r="Y39" s="28">
        <f>IF(Y4&gt;0, Y4-(Y$30*VALORI!$B$4)-(Y$31*VALORI!$B$4)-(Y$32*VALORI!$B$3)-(Y$33*VALORI!$B$5),0)</f>
        <v>9008</v>
      </c>
      <c r="Z39" s="28">
        <f>IF(Z4&gt;0, Z4-(Z$30*VALORI!$B$4)-(Z$31*VALORI!$B$4)-(Z$32*VALORI!$B$3)-(Z$33*VALORI!$B$5),0)</f>
        <v>15508</v>
      </c>
      <c r="AA39" s="28">
        <f>IF(AA4&gt;0, AA4-(AA$30*VALORI!$B$4)-(AA$31*VALORI!$B$4)-(AA$32*VALORI!$B$3)-(AA$33*VALORI!$B$5),0)</f>
        <v>2924</v>
      </c>
      <c r="AB39" s="28">
        <f>IF(AB4&gt;0, AB4-(AB$30*VALORI!$B$4)-(AB$31*VALORI!$B$4)-(AB$32*VALORI!$B$3)-(AB$33*VALORI!$B$5),0)</f>
        <v>5397</v>
      </c>
      <c r="AC39" s="28">
        <f>IF(AC4&gt;0, AC4-(AC$30*VALORI!$B$4)-(AC$31*VALORI!$B$4)-(AC$32*VALORI!$B$3)-(AC$33*VALORI!$B$5),0)</f>
        <v>506</v>
      </c>
      <c r="AD39" s="28">
        <f>IF(AD4&gt;0, AD4-(AD$30*VALORI!$B$4)-(AD$31*VALORI!$B$4)-(AD$32*VALORI!$B$3)-(AD$33*VALORI!$B$5),0)</f>
        <v>5646</v>
      </c>
      <c r="AE39" s="28">
        <f>IF(AE4&gt;0, AE4-(AE$30*VALORI!$B$4)-(AE$31*VALORI!$B$4)-(AE$32*VALORI!$B$3)-(AE$33*VALORI!$B$5),0)</f>
        <v>932</v>
      </c>
      <c r="AF39" s="28">
        <f>IF(AF4&gt;0, AF4-(AF$30*VALORI!$B$4)-(AF$31*VALORI!$B$4)-(AF$32*VALORI!$B$3)-(AF$33*VALORI!$B$5),0)</f>
        <v>1677</v>
      </c>
      <c r="AG39" s="28">
        <f>IF(AG4&gt;0, AG4-(AG$30*VALORI!$B$4)-(AG$31*VALORI!$B$4)-(AG$32*VALORI!$B$3)-(AG$33*VALORI!$B$5),0)</f>
        <v>-23</v>
      </c>
      <c r="AH39" s="28">
        <f>IF(AH4&gt;0, AH4-(AH$30*VALORI!$B$4)-(AH$31*VALORI!$B$4)-(AH$32*VALORI!$B$3)-(AH$33*VALORI!$B$5),0)</f>
        <v>1852</v>
      </c>
      <c r="AI39" s="28">
        <f>IF(AI4&gt;0, AI4-(AI$30*VALORI!$B$4)-(AI$31*VALORI!$B$4)-(AI$32*VALORI!$B$3)-(AI$33*VALORI!$B$5),0)</f>
        <v>2600</v>
      </c>
      <c r="AJ39" s="28">
        <f>IF(AJ4&gt;0, AJ4-(AJ$30*VALORI!$B$4)-(AJ$31*VALORI!$B$4)-(AJ$32*VALORI!$B$3)-(AJ$33*VALORI!$B$5),0)</f>
        <v>0</v>
      </c>
      <c r="AK39" s="28">
        <f>IF(AK4&gt;0, AK4-(AK$30*VALORI!$B$4)-(AK$31*VALORI!$B$4)-(AK$32*VALORI!$B$3)-(AK$33*VALORI!$B$5),0)</f>
        <v>0</v>
      </c>
      <c r="AL39" s="28">
        <f>IF(AL4&gt;0, AL4-(AL$30*VALORI!$B$4)-(AL$31*VALORI!$B$4)-(AL$32*VALORI!$B$3)-(AL$33*VALORI!$B$5),0)</f>
        <v>10660</v>
      </c>
      <c r="AM39" s="28">
        <f>IF(AM4&gt;0, AM4-(AM$30*VALORI!$B$4)-(AM$31*VALORI!$B$4)-(AM$32*VALORI!$B$3)-(AM$33*VALORI!$B$5),0)</f>
        <v>7358</v>
      </c>
      <c r="AN39" s="28">
        <f>IF(AN4&gt;0, AN4-(AN$30*VALORI!$B$4)-(AN$31*VALORI!$B$4)-(AN$32*VALORI!$B$3)-(AN$33*VALORI!$B$5),0)</f>
        <v>0</v>
      </c>
      <c r="AO39" s="28">
        <f>IF(AO4&gt;0, AO4-(AO$30*VALORI!$B$4)-(AO$31*VALORI!$B$4)-(AO$32*VALORI!$B$3)-(AO$33*VALORI!$B$5),0)</f>
        <v>0</v>
      </c>
      <c r="AQ39" s="28">
        <f>IF(AQ4&gt;0, AQ4-(AQ$30*VALORI!$B$4)-(AQ$31*VALORI!$B$4)-(AQ$32*VALORI!$B$3)-(AQ$33*VALORI!$B$5),0)</f>
        <v>0</v>
      </c>
      <c r="AR39" s="28">
        <f>IF(AR4&gt;0, AR4-(AR$30*VALORI!$B$4)-(AR$31*VALORI!$B$4)-(AR$32*VALORI!$B$3)-(AR$33*VALORI!$B$5),0)</f>
        <v>0</v>
      </c>
      <c r="AS39" s="28">
        <f>IF(AS4&gt;0, AS4-(AS$30*VALORI!$B$4)-(AS$31*VALORI!$B$4)-(AS$32*VALORI!$B$3)-(AS$33*VALORI!$B$5),0)</f>
        <v>0</v>
      </c>
      <c r="AT39" s="28">
        <f>IF(AT4&gt;0, AT4-(AT$30*VALORI!$B$4)-(AT$31*VALORI!$B$4)-(AT$32*VALORI!$B$3)-(AT$33*VALORI!$B$5),0)</f>
        <v>0</v>
      </c>
    </row>
    <row r="40" spans="9:46" ht="15.75" x14ac:dyDescent="0.25">
      <c r="O40" s="25">
        <v>96600</v>
      </c>
      <c r="P40" s="25">
        <f t="shared" ref="P40:P42" si="11">(O40*10%)+O40</f>
        <v>106260</v>
      </c>
      <c r="Q40" s="25">
        <f t="shared" si="9"/>
        <v>110510.39999999999</v>
      </c>
      <c r="R40" s="25">
        <f t="shared" si="10"/>
        <v>113825.712</v>
      </c>
      <c r="W40" s="28">
        <f>IF(W5&gt;0, W5-(W$30*VALORI!$B$4)-(W$31*VALORI!$B$4)-(W$32*VALORI!$B$3)-(W$33*VALORI!$B$5),0)</f>
        <v>5589.5427199999995</v>
      </c>
      <c r="X40" s="28">
        <f>IF(X5&gt;0, X5-(X$30*VALORI!$B$4)-(X$31*VALORI!$B$4)-(X$32*VALORI!$B$3)-(X$33*VALORI!$B$5),0)</f>
        <v>19045.142400000001</v>
      </c>
      <c r="Y40" s="28">
        <f>IF(Y5&gt;0, Y5-(Y$30*VALORI!$B$4)-(Y$31*VALORI!$B$4)-(Y$32*VALORI!$B$3)-(Y$33*VALORI!$B$5),0)</f>
        <v>9008</v>
      </c>
      <c r="Z40" s="28">
        <f>IF(Z5&gt;0, Z5-(Z$30*VALORI!$B$4)-(Z$31*VALORI!$B$4)-(Z$32*VALORI!$B$3)-(Z$33*VALORI!$B$5),0)</f>
        <v>15508</v>
      </c>
      <c r="AA40" s="28">
        <f>IF(AA5&gt;0, AA5-(AA$30*VALORI!$B$4)-(AA$31*VALORI!$B$4)-(AA$32*VALORI!$B$3)-(AA$33*VALORI!$B$5),0)</f>
        <v>2924</v>
      </c>
      <c r="AB40" s="28">
        <f>IF(AB5&gt;0, AB5-(AB$30*VALORI!$B$4)-(AB$31*VALORI!$B$4)-(AB$32*VALORI!$B$3)-(AB$33*VALORI!$B$5),0)</f>
        <v>5397</v>
      </c>
      <c r="AC40" s="28">
        <f>IF(AC5&gt;0, AC5-(AC$30*VALORI!$B$4)-(AC$31*VALORI!$B$4)-(AC$32*VALORI!$B$3)-(AC$33*VALORI!$B$5),0)</f>
        <v>506</v>
      </c>
      <c r="AD40" s="28">
        <f>IF(AD5&gt;0, AD5-(AD$30*VALORI!$B$4)-(AD$31*VALORI!$B$4)-(AD$32*VALORI!$B$3)-(AD$33*VALORI!$B$5),0)</f>
        <v>5646</v>
      </c>
      <c r="AE40" s="28">
        <f>IF(AE5&gt;0, AE5-(AE$30*VALORI!$B$4)-(AE$31*VALORI!$B$4)-(AE$32*VALORI!$B$3)-(AE$33*VALORI!$B$5),0)</f>
        <v>932</v>
      </c>
      <c r="AF40" s="28">
        <f>IF(AF5&gt;0, AF5-(AF$30*VALORI!$B$4)-(AF$31*VALORI!$B$4)-(AF$32*VALORI!$B$3)-(AF$33*VALORI!$B$5),0)</f>
        <v>1677</v>
      </c>
      <c r="AG40" s="28">
        <f>IF(AG5&gt;0, AG5-(AG$30*VALORI!$B$4)-(AG$31*VALORI!$B$4)-(AG$32*VALORI!$B$3)-(AG$33*VALORI!$B$5),0)</f>
        <v>-23</v>
      </c>
      <c r="AH40" s="28">
        <f>IF(AH5&gt;0, AH5-(AH$30*VALORI!$B$4)-(AH$31*VALORI!$B$4)-(AH$32*VALORI!$B$3)-(AH$33*VALORI!$B$5),0)</f>
        <v>1852</v>
      </c>
      <c r="AI40" s="28">
        <f>IF(AI5&gt;0, AI5-(AI$30*VALORI!$B$4)-(AI$31*VALORI!$B$4)-(AI$32*VALORI!$B$3)-(AI$33*VALORI!$B$5),0)</f>
        <v>2600</v>
      </c>
      <c r="AJ40" s="28">
        <f>IF(AJ5&gt;0, AJ5-(AJ$30*VALORI!$B$4)-(AJ$31*VALORI!$B$4)-(AJ$32*VALORI!$B$3)-(AJ$33*VALORI!$B$5),0)</f>
        <v>0</v>
      </c>
      <c r="AK40" s="28">
        <f>IF(AK5&gt;0, AK5-(AK$30*VALORI!$B$4)-(AK$31*VALORI!$B$4)-(AK$32*VALORI!$B$3)-(AK$33*VALORI!$B$5),0)</f>
        <v>0</v>
      </c>
      <c r="AL40" s="28">
        <f>IF(AL5&gt;0, AL5-(AL$30*VALORI!$B$4)-(AL$31*VALORI!$B$4)-(AL$32*VALORI!$B$3)-(AL$33*VALORI!$B$5),0)</f>
        <v>13660</v>
      </c>
      <c r="AM40" s="28">
        <f>IF(AM5&gt;0, AM5-(AM$30*VALORI!$B$4)-(AM$31*VALORI!$B$4)-(AM$32*VALORI!$B$3)-(AM$33*VALORI!$B$5),0)</f>
        <v>7358</v>
      </c>
      <c r="AN40" s="28">
        <f>IF(AN5&gt;0, AN5-(AN$30*VALORI!$B$4)-(AN$31*VALORI!$B$4)-(AN$32*VALORI!$B$3)-(AN$33*VALORI!$B$5),0)</f>
        <v>0</v>
      </c>
      <c r="AO40" s="28">
        <f>IF(AO5&gt;0, AO5-(AO$30*VALORI!$B$4)-(AO$31*VALORI!$B$4)-(AO$32*VALORI!$B$3)-(AO$33*VALORI!$B$5),0)</f>
        <v>0</v>
      </c>
      <c r="AQ40" s="28">
        <f>IF(AQ5&gt;0, AQ5-(AQ$30*VALORI!$B$4)-(AQ$31*VALORI!$B$4)-(AQ$32*VALORI!$B$3)-(AQ$33*VALORI!$B$5),0)</f>
        <v>0</v>
      </c>
      <c r="AR40" s="28">
        <f>IF(AR5&gt;0, AR5-(AR$30*VALORI!$B$4)-(AR$31*VALORI!$B$4)-(AR$32*VALORI!$B$3)-(AR$33*VALORI!$B$5),0)</f>
        <v>0</v>
      </c>
      <c r="AS40" s="28">
        <f>IF(AS5&gt;0, AS5-(AS$30*VALORI!$B$4)-(AS$31*VALORI!$B$4)-(AS$32*VALORI!$B$3)-(AS$33*VALORI!$B$5),0)</f>
        <v>0</v>
      </c>
      <c r="AT40" s="28">
        <f>IF(AT5&gt;0, AT5-(AT$30*VALORI!$B$4)-(AT$31*VALORI!$B$4)-(AT$32*VALORI!$B$3)-(AT$33*VALORI!$B$5),0)</f>
        <v>0</v>
      </c>
    </row>
    <row r="41" spans="9:46" ht="15.75" x14ac:dyDescent="0.25">
      <c r="O41" s="25">
        <v>102900</v>
      </c>
      <c r="P41" s="25">
        <f t="shared" si="11"/>
        <v>113190</v>
      </c>
      <c r="Q41" s="25">
        <f t="shared" si="9"/>
        <v>117717.6</v>
      </c>
      <c r="R41" s="25">
        <f t="shared" si="10"/>
        <v>121249.12800000001</v>
      </c>
      <c r="W41" s="28">
        <f>IF(W6&gt;0, W6-(W$30*VALORI!$B$4)-(W$31*VALORI!$B$4)-(W$32*VALORI!$B$3)-(W$33*VALORI!$B$5),0)</f>
        <v>6034.9476800000002</v>
      </c>
      <c r="X41" s="28">
        <f>IF(X6&gt;0, X6-(X$30*VALORI!$B$4)-(X$31*VALORI!$B$4)-(X$32*VALORI!$B$3)-(X$33*VALORI!$B$5),0)</f>
        <v>20529.825600000004</v>
      </c>
      <c r="Y41" s="28">
        <f>IF(Y6&gt;0, Y6-(Y$30*VALORI!$B$4)-(Y$31*VALORI!$B$4)-(Y$32*VALORI!$B$3)-(Y$33*VALORI!$B$5),0)</f>
        <v>11008</v>
      </c>
      <c r="Z41" s="28">
        <f>IF(Z6&gt;0, Z6-(Z$30*VALORI!$B$4)-(Z$31*VALORI!$B$4)-(Z$32*VALORI!$B$3)-(Z$33*VALORI!$B$5),0)</f>
        <v>18808</v>
      </c>
      <c r="AA41" s="28">
        <f>IF(AA6&gt;0, AA6-(AA$30*VALORI!$B$4)-(AA$31*VALORI!$B$4)-(AA$32*VALORI!$B$3)-(AA$33*VALORI!$B$5),0)</f>
        <v>2924</v>
      </c>
      <c r="AB41" s="28">
        <f>IF(AB6&gt;0, AB6-(AB$30*VALORI!$B$4)-(AB$31*VALORI!$B$4)-(AB$32*VALORI!$B$3)-(AB$33*VALORI!$B$5),0)</f>
        <v>5397</v>
      </c>
      <c r="AC41" s="28">
        <f>IF(AC6&gt;0, AC6-(AC$30*VALORI!$B$4)-(AC$31*VALORI!$B$4)-(AC$32*VALORI!$B$3)-(AC$33*VALORI!$B$5),0)</f>
        <v>506</v>
      </c>
      <c r="AD41" s="28">
        <f>IF(AD6&gt;0, AD6-(AD$30*VALORI!$B$4)-(AD$31*VALORI!$B$4)-(AD$32*VALORI!$B$3)-(AD$33*VALORI!$B$5),0)</f>
        <v>5646</v>
      </c>
      <c r="AE41" s="28">
        <f>IF(AE6&gt;0, AE6-(AE$30*VALORI!$B$4)-(AE$31*VALORI!$B$4)-(AE$32*VALORI!$B$3)-(AE$33*VALORI!$B$5),0)</f>
        <v>932</v>
      </c>
      <c r="AF41" s="28">
        <f>IF(AF6&gt;0, AF6-(AF$30*VALORI!$B$4)-(AF$31*VALORI!$B$4)-(AF$32*VALORI!$B$3)-(AF$33*VALORI!$B$5),0)</f>
        <v>1677</v>
      </c>
      <c r="AG41" s="28">
        <f>IF(AG6&gt;0, AG6-(AG$30*VALORI!$B$4)-(AG$31*VALORI!$B$4)-(AG$32*VALORI!$B$3)-(AG$33*VALORI!$B$5),0)</f>
        <v>-23</v>
      </c>
      <c r="AH41" s="28">
        <f>IF(AH6&gt;0, AH6-(AH$30*VALORI!$B$4)-(AH$31*VALORI!$B$4)-(AH$32*VALORI!$B$3)-(AH$33*VALORI!$B$5),0)</f>
        <v>3852</v>
      </c>
      <c r="AI41" s="28">
        <f>IF(AI6&gt;0, AI6-(AI$30*VALORI!$B$4)-(AI$31*VALORI!$B$4)-(AI$32*VALORI!$B$3)-(AI$33*VALORI!$B$5),0)</f>
        <v>2600</v>
      </c>
      <c r="AJ41" s="28">
        <f>IF(AJ6&gt;0, AJ6-(AJ$30*VALORI!$B$4)-(AJ$31*VALORI!$B$4)-(AJ$32*VALORI!$B$3)-(AJ$33*VALORI!$B$5),0)</f>
        <v>0</v>
      </c>
      <c r="AK41" s="28">
        <f>IF(AK6&gt;0, AK6-(AK$30*VALORI!$B$4)-(AK$31*VALORI!$B$4)-(AK$32*VALORI!$B$3)-(AK$33*VALORI!$B$5),0)</f>
        <v>0</v>
      </c>
      <c r="AL41" s="28">
        <f>IF(AL6&gt;0, AL6-(AL$30*VALORI!$B$4)-(AL$31*VALORI!$B$4)-(AL$32*VALORI!$B$3)-(AL$33*VALORI!$B$5),0)</f>
        <v>15660</v>
      </c>
      <c r="AM41" s="28">
        <f>IF(AM6&gt;0, AM6-(AM$30*VALORI!$B$4)-(AM$31*VALORI!$B$4)-(AM$32*VALORI!$B$3)-(AM$33*VALORI!$B$5),0)</f>
        <v>7358</v>
      </c>
      <c r="AN41" s="28">
        <f>IF(AN6&gt;0, AN6-(AN$30*VALORI!$B$4)-(AN$31*VALORI!$B$4)-(AN$32*VALORI!$B$3)-(AN$33*VALORI!$B$5),0)</f>
        <v>0</v>
      </c>
      <c r="AO41" s="28">
        <f>IF(AO6&gt;0, AO6-(AO$30*VALORI!$B$4)-(AO$31*VALORI!$B$4)-(AO$32*VALORI!$B$3)-(AO$33*VALORI!$B$5),0)</f>
        <v>0</v>
      </c>
      <c r="AQ41" s="28">
        <f>IF(AQ6&gt;0, AQ6-(AQ$30*VALORI!$B$4)-(AQ$31*VALORI!$B$4)-(AQ$32*VALORI!$B$3)-(AQ$33*VALORI!$B$5),0)</f>
        <v>0</v>
      </c>
      <c r="AR41" s="28">
        <f>IF(AR6&gt;0, AR6-(AR$30*VALORI!$B$4)-(AR$31*VALORI!$B$4)-(AR$32*VALORI!$B$3)-(AR$33*VALORI!$B$5),0)</f>
        <v>0</v>
      </c>
      <c r="AS41" s="28">
        <f>IF(AS6&gt;0, AS6-(AS$30*VALORI!$B$4)-(AS$31*VALORI!$B$4)-(AS$32*VALORI!$B$3)-(AS$33*VALORI!$B$5),0)</f>
        <v>0</v>
      </c>
      <c r="AT41" s="28">
        <f>IF(AT6&gt;0, AT6-(AT$30*VALORI!$B$4)-(AT$31*VALORI!$B$4)-(AT$32*VALORI!$B$3)-(AT$33*VALORI!$B$5),0)</f>
        <v>0</v>
      </c>
    </row>
    <row r="42" spans="9:46" ht="15.75" x14ac:dyDescent="0.25">
      <c r="O42" s="25">
        <v>120750</v>
      </c>
      <c r="P42" s="25">
        <f t="shared" si="11"/>
        <v>132825</v>
      </c>
      <c r="Q42" s="25">
        <f t="shared" si="9"/>
        <v>138138</v>
      </c>
      <c r="R42" s="25">
        <f t="shared" si="10"/>
        <v>142282.14000000001</v>
      </c>
      <c r="W42" s="28">
        <f>IF(W7&gt;0, W7-(W$30*VALORI!$B$4)-(W$31*VALORI!$B$4)-(W$32*VALORI!$B$3)-(W$33*VALORI!$B$5),0)</f>
        <v>7296.9284000000007</v>
      </c>
      <c r="X42" s="28">
        <f>IF(X7&gt;0, X7-(X$30*VALORI!$B$4)-(X$31*VALORI!$B$4)-(X$32*VALORI!$B$3)-(X$33*VALORI!$B$5),0)</f>
        <v>24736.428000000004</v>
      </c>
      <c r="Y42" s="28">
        <f>IF(Y7&gt;0, Y7-(Y$30*VALORI!$B$4)-(Y$31*VALORI!$B$4)-(Y$32*VALORI!$B$3)-(Y$33*VALORI!$B$5),0)</f>
        <v>11008</v>
      </c>
      <c r="Z42" s="28">
        <f>IF(Z7&gt;0, Z7-(Z$30*VALORI!$B$4)-(Z$31*VALORI!$B$4)-(Z$32*VALORI!$B$3)-(Z$33*VALORI!$B$5),0)</f>
        <v>18808</v>
      </c>
      <c r="AA42" s="28">
        <f>IF(AA7&gt;0, AA7-(AA$30*VALORI!$B$4)-(AA$31*VALORI!$B$4)-(AA$32*VALORI!$B$3)-(AA$33*VALORI!$B$5),0)</f>
        <v>2924</v>
      </c>
      <c r="AB42" s="28">
        <f>IF(AB7&gt;0, AB7-(AB$30*VALORI!$B$4)-(AB$31*VALORI!$B$4)-(AB$32*VALORI!$B$3)-(AB$33*VALORI!$B$5),0)</f>
        <v>5397</v>
      </c>
      <c r="AC42" s="28">
        <f>IF(AC7&gt;0, AC7-(AC$30*VALORI!$B$4)-(AC$31*VALORI!$B$4)-(AC$32*VALORI!$B$3)-(AC$33*VALORI!$B$5),0)</f>
        <v>506</v>
      </c>
      <c r="AD42" s="28">
        <f>IF(AD7&gt;0, AD7-(AD$30*VALORI!$B$4)-(AD$31*VALORI!$B$4)-(AD$32*VALORI!$B$3)-(AD$33*VALORI!$B$5),0)</f>
        <v>5646</v>
      </c>
      <c r="AE42" s="28">
        <f>IF(AE7&gt;0, AE7-(AE$30*VALORI!$B$4)-(AE$31*VALORI!$B$4)-(AE$32*VALORI!$B$3)-(AE$33*VALORI!$B$5),0)</f>
        <v>932</v>
      </c>
      <c r="AF42" s="28">
        <f>IF(AF7&gt;0, AF7-(AF$30*VALORI!$B$4)-(AF$31*VALORI!$B$4)-(AF$32*VALORI!$B$3)-(AF$33*VALORI!$B$5),0)</f>
        <v>1677</v>
      </c>
      <c r="AG42" s="28">
        <f>IF(AG7&gt;0, AG7-(AG$30*VALORI!$B$4)-(AG$31*VALORI!$B$4)-(AG$32*VALORI!$B$3)-(AG$33*VALORI!$B$5),0)</f>
        <v>-23</v>
      </c>
      <c r="AH42" s="28">
        <f>IF(AH7&gt;0, AH7-(AH$30*VALORI!$B$4)-(AH$31*VALORI!$B$4)-(AH$32*VALORI!$B$3)-(AH$33*VALORI!$B$5),0)</f>
        <v>3852</v>
      </c>
      <c r="AI42" s="28">
        <f>IF(AI7&gt;0, AI7-(AI$30*VALORI!$B$4)-(AI$31*VALORI!$B$4)-(AI$32*VALORI!$B$3)-(AI$33*VALORI!$B$5),0)</f>
        <v>2600</v>
      </c>
      <c r="AJ42" s="28">
        <f>IF(AJ7&gt;0, AJ7-(AJ$30*VALORI!$B$4)-(AJ$31*VALORI!$B$4)-(AJ$32*VALORI!$B$3)-(AJ$33*VALORI!$B$5),0)</f>
        <v>0</v>
      </c>
      <c r="AK42" s="28">
        <f>IF(AK7&gt;0, AK7-(AK$30*VALORI!$B$4)-(AK$31*VALORI!$B$4)-(AK$32*VALORI!$B$3)-(AK$33*VALORI!$B$5),0)</f>
        <v>0</v>
      </c>
      <c r="AL42" s="28">
        <f>IF(AL7&gt;0, AL7-(AL$30*VALORI!$B$4)-(AL$31*VALORI!$B$4)-(AL$32*VALORI!$B$3)-(AL$33*VALORI!$B$5),0)</f>
        <v>19660</v>
      </c>
      <c r="AM42" s="28">
        <f>IF(AM7&gt;0, AM7-(AM$30*VALORI!$B$4)-(AM$31*VALORI!$B$4)-(AM$32*VALORI!$B$3)-(AM$33*VALORI!$B$5),0)</f>
        <v>7358</v>
      </c>
      <c r="AN42" s="28">
        <f>IF(AN7&gt;0, AN7-(AN$30*VALORI!$B$4)-(AN$31*VALORI!$B$4)-(AN$32*VALORI!$B$3)-(AN$33*VALORI!$B$5),0)</f>
        <v>0</v>
      </c>
      <c r="AO42" s="28">
        <f>IF(AO7&gt;0, AO7-(AO$30*VALORI!$B$4)-(AO$31*VALORI!$B$4)-(AO$32*VALORI!$B$3)-(AO$33*VALORI!$B$5),0)</f>
        <v>0</v>
      </c>
      <c r="AQ42" s="28">
        <f>IF(AQ7&gt;0, AQ7-(AQ$30*VALORI!$B$4)-(AQ$31*VALORI!$B$4)-(AQ$32*VALORI!$B$3)-(AQ$33*VALORI!$B$5),0)</f>
        <v>0</v>
      </c>
      <c r="AR42" s="28">
        <f>IF(AR7&gt;0, AR7-(AR$30*VALORI!$B$4)-(AR$31*VALORI!$B$4)-(AR$32*VALORI!$B$3)-(AR$33*VALORI!$B$5),0)</f>
        <v>0</v>
      </c>
      <c r="AS42" s="28">
        <f>IF(AS7&gt;0, AS7-(AS$30*VALORI!$B$4)-(AS$31*VALORI!$B$4)-(AS$32*VALORI!$B$3)-(AS$33*VALORI!$B$5),0)</f>
        <v>0</v>
      </c>
      <c r="AT42" s="28">
        <f>IF(AT7&gt;0, AT7-(AT$30*VALORI!$B$4)-(AT$31*VALORI!$B$4)-(AT$32*VALORI!$B$3)-(AT$33*VALORI!$B$5),0)</f>
        <v>0</v>
      </c>
    </row>
    <row r="43" spans="9:46" ht="15.75" x14ac:dyDescent="0.25">
      <c r="R43" s="25">
        <f t="shared" si="10"/>
        <v>0</v>
      </c>
      <c r="W43" s="28">
        <f>IF(W8&gt;0, W8-(W$30*VALORI!$B$4)-(W$31*VALORI!$B$4)-(W$32*VALORI!$B$3)-(W$33*VALORI!$B$5),0)</f>
        <v>0</v>
      </c>
      <c r="X43" s="28">
        <f>IF(X8&gt;0, X8-(X$30*VALORI!$B$4)-(X$31*VALORI!$B$4)-(X$32*VALORI!$B$3)-(X$33*VALORI!$B$5),0)</f>
        <v>0</v>
      </c>
      <c r="Y43" s="28">
        <f>IF(Y8&gt;0, Y8-(Y$30*VALORI!$B$4)-(Y$31*VALORI!$B$4)-(Y$32*VALORI!$B$3)-(Y$33*VALORI!$B$5),0)</f>
        <v>0</v>
      </c>
      <c r="Z43" s="28">
        <f>IF(Z8&gt;0, Z8-(Z$30*VALORI!$B$4)-(Z$31*VALORI!$B$4)-(Z$32*VALORI!$B$3)-(Z$33*VALORI!$B$5),0)</f>
        <v>0</v>
      </c>
      <c r="AA43" s="28">
        <f>IF(AA8&gt;0, AA8-(AA$30*VALORI!$B$4)-(AA$31*VALORI!$B$4)-(AA$32*VALORI!$B$3)-(AA$33*VALORI!$B$5),0)</f>
        <v>0</v>
      </c>
      <c r="AB43" s="28">
        <f>IF(AB8&gt;0, AB8-(AB$30*VALORI!$B$4)-(AB$31*VALORI!$B$4)-(AB$32*VALORI!$B$3)-(AB$33*VALORI!$B$5),0)</f>
        <v>0</v>
      </c>
      <c r="AC43" s="28">
        <f>IF(AC8&gt;0, AC8-(AC$30*VALORI!$B$4)-(AC$31*VALORI!$B$4)-(AC$32*VALORI!$B$3)-(AC$33*VALORI!$B$5),0)</f>
        <v>0</v>
      </c>
      <c r="AD43" s="28">
        <f>IF(AD8&gt;0, AD8-(AD$30*VALORI!$B$4)-(AD$31*VALORI!$B$4)-(AD$32*VALORI!$B$3)-(AD$33*VALORI!$B$5),0)</f>
        <v>0</v>
      </c>
      <c r="AE43" s="28">
        <f>IF(AE8&gt;0, AE8-(AE$30*VALORI!$B$4)-(AE$31*VALORI!$B$4)-(AE$32*VALORI!$B$3)-(AE$33*VALORI!$B$5),0)</f>
        <v>0</v>
      </c>
      <c r="AF43" s="28">
        <f>IF(AF8&gt;0, AF8-(AF$30*VALORI!$B$4)-(AF$31*VALORI!$B$4)-(AF$32*VALORI!$B$3)-(AF$33*VALORI!$B$5),0)</f>
        <v>0</v>
      </c>
      <c r="AG43" s="28">
        <f>IF(AG8&gt;0, AG8-(AG$30*VALORI!$B$4)-(AG$31*VALORI!$B$4)-(AG$32*VALORI!$B$3)-(AG$33*VALORI!$B$5),0)</f>
        <v>0</v>
      </c>
      <c r="AH43" s="28">
        <f>IF(AH8&gt;0, AH8-(AH$30*VALORI!$B$4)-(AH$31*VALORI!$B$4)-(AH$32*VALORI!$B$3)-(AH$33*VALORI!$B$5),0)</f>
        <v>0</v>
      </c>
      <c r="AI43" s="28">
        <f>IF(AI8&gt;0, AI8-(AI$30*VALORI!$B$4)-(AI$31*VALORI!$B$4)-(AI$32*VALORI!$B$3)-(AI$33*VALORI!$B$5),0)</f>
        <v>0</v>
      </c>
      <c r="AJ43" s="28">
        <f>IF(AJ8&gt;0, AJ8-(AJ$30*VALORI!$B$4)-(AJ$31*VALORI!$B$4)-(AJ$32*VALORI!$B$3)-(AJ$33*VALORI!$B$5),0)</f>
        <v>0</v>
      </c>
      <c r="AK43" s="28">
        <f>IF(AK8&gt;0, AK8-(AK$30*VALORI!$B$4)-(AK$31*VALORI!$B$4)-(AK$32*VALORI!$B$3)-(AK$33*VALORI!$B$5),0)</f>
        <v>0</v>
      </c>
      <c r="AL43" s="28">
        <f>IF(AL8&gt;0, AL8-(AL$30*VALORI!$B$4)-(AL$31*VALORI!$B$4)-(AL$32*VALORI!$B$3)-(AL$33*VALORI!$B$5),0)</f>
        <v>0</v>
      </c>
      <c r="AM43" s="28">
        <f>IF(AM8&gt;0, AM8-(AM$30*VALORI!$B$4)-(AM$31*VALORI!$B$4)-(AM$32*VALORI!$B$3)-(AM$33*VALORI!$B$5),0)</f>
        <v>0</v>
      </c>
      <c r="AN43" s="28">
        <f>IF(AN8&gt;0, AN8-(AN$30*VALORI!$B$4)-(AN$31*VALORI!$B$4)-(AN$32*VALORI!$B$3)-(AN$33*VALORI!$B$5),0)</f>
        <v>0</v>
      </c>
      <c r="AO43" s="28">
        <f>IF(AO8&gt;0, AO8-(AO$30*VALORI!$B$4)-(AO$31*VALORI!$B$4)-(AO$32*VALORI!$B$3)-(AO$33*VALORI!$B$5),0)</f>
        <v>0</v>
      </c>
      <c r="AQ43" s="28">
        <f>IF(AQ8&gt;0, AQ8-(AQ$30*VALORI!$B$4)-(AQ$31*VALORI!$B$4)-(AQ$32*VALORI!$B$3)-(AQ$33*VALORI!$B$5),0)</f>
        <v>0</v>
      </c>
      <c r="AR43" s="28">
        <f>IF(AR8&gt;0, AR8-(AR$30*VALORI!$B$4)-(AR$31*VALORI!$B$4)-(AR$32*VALORI!$B$3)-(AR$33*VALORI!$B$5),0)</f>
        <v>0</v>
      </c>
      <c r="AS43" s="28">
        <f>IF(AS8&gt;0, AS8-(AS$30*VALORI!$B$4)-(AS$31*VALORI!$B$4)-(AS$32*VALORI!$B$3)-(AS$33*VALORI!$B$5),0)</f>
        <v>0</v>
      </c>
      <c r="AT43" s="28">
        <f>IF(AT8&gt;0, AT8-(AT$30*VALORI!$B$4)-(AT$31*VALORI!$B$4)-(AT$32*VALORI!$B$3)-(AT$33*VALORI!$B$5),0)</f>
        <v>0</v>
      </c>
    </row>
    <row r="44" spans="9:46" ht="15.75" x14ac:dyDescent="0.25">
      <c r="Q44" s="25">
        <v>127817</v>
      </c>
      <c r="R44" s="25">
        <f t="shared" si="10"/>
        <v>131651.51</v>
      </c>
      <c r="W44" s="28">
        <f>IF(W9&gt;0, W9-(W$30*VALORI!$B$4)-(W$31*VALORI!$B$4)-(W$32*VALORI!$B$3)-(W$33*VALORI!$B$5),0)</f>
        <v>6659.0906000000004</v>
      </c>
      <c r="X44" s="28">
        <f>IF(X9&gt;0, X9-(X$30*VALORI!$B$4)-(X$31*VALORI!$B$4)-(X$32*VALORI!$B$3)-(X$33*VALORI!$B$5),0)</f>
        <v>22610.302000000003</v>
      </c>
      <c r="Y44" s="28">
        <f>IF(Y9&gt;0, Y9-(Y$30*VALORI!$B$4)-(Y$31*VALORI!$B$4)-(Y$32*VALORI!$B$3)-(Y$33*VALORI!$B$5),0)</f>
        <v>9008</v>
      </c>
      <c r="Z44" s="28">
        <f>IF(Z9&gt;0, Z9-(Z$30*VALORI!$B$4)-(Z$31*VALORI!$B$4)-(Z$32*VALORI!$B$3)-(Z$33*VALORI!$B$5),0)</f>
        <v>15508</v>
      </c>
      <c r="AA44" s="28">
        <f>IF(AA9&gt;0, AA9-(AA$30*VALORI!$B$4)-(AA$31*VALORI!$B$4)-(AA$32*VALORI!$B$3)-(AA$33*VALORI!$B$5),0)</f>
        <v>2924</v>
      </c>
      <c r="AB44" s="28">
        <f>IF(AB9&gt;0, AB9-(AB$30*VALORI!$B$4)-(AB$31*VALORI!$B$4)-(AB$32*VALORI!$B$3)-(AB$33*VALORI!$B$5),0)</f>
        <v>5397</v>
      </c>
      <c r="AC44" s="28">
        <f>IF(AC9&gt;0, AC9-(AC$30*VALORI!$B$4)-(AC$31*VALORI!$B$4)-(AC$32*VALORI!$B$3)-(AC$33*VALORI!$B$5),0)</f>
        <v>506</v>
      </c>
      <c r="AD44" s="28">
        <f>IF(AD9&gt;0, AD9-(AD$30*VALORI!$B$4)-(AD$31*VALORI!$B$4)-(AD$32*VALORI!$B$3)-(AD$33*VALORI!$B$5),0)</f>
        <v>5646</v>
      </c>
      <c r="AE44" s="28">
        <f>IF(AE9&gt;0, AE9-(AE$30*VALORI!$B$4)-(AE$31*VALORI!$B$4)-(AE$32*VALORI!$B$3)-(AE$33*VALORI!$B$5),0)</f>
        <v>932</v>
      </c>
      <c r="AF44" s="28">
        <f>IF(AF9&gt;0, AF9-(AF$30*VALORI!$B$4)-(AF$31*VALORI!$B$4)-(AF$32*VALORI!$B$3)-(AF$33*VALORI!$B$5),0)</f>
        <v>1677</v>
      </c>
      <c r="AG44" s="28">
        <f>IF(AG9&gt;0, AG9-(AG$30*VALORI!$B$4)-(AG$31*VALORI!$B$4)-(AG$32*VALORI!$B$3)-(AG$33*VALORI!$B$5),0)</f>
        <v>-23</v>
      </c>
      <c r="AH44" s="28">
        <f>IF(AH9&gt;0, AH9-(AH$30*VALORI!$B$4)-(AH$31*VALORI!$B$4)-(AH$32*VALORI!$B$3)-(AH$33*VALORI!$B$5),0)</f>
        <v>1852</v>
      </c>
      <c r="AI44" s="28">
        <f>IF(AI9&gt;0, AI9-(AI$30*VALORI!$B$4)-(AI$31*VALORI!$B$4)-(AI$32*VALORI!$B$3)-(AI$33*VALORI!$B$5),0)</f>
        <v>2600</v>
      </c>
      <c r="AJ44" s="28">
        <f>IF(AJ9&gt;0, AJ9-(AJ$30*VALORI!$B$4)-(AJ$31*VALORI!$B$4)-(AJ$32*VALORI!$B$3)-(AJ$33*VALORI!$B$5),0)</f>
        <v>0</v>
      </c>
      <c r="AK44" s="28">
        <f>IF(AK9&gt;0, AK9-(AK$30*VALORI!$B$4)-(AK$31*VALORI!$B$4)-(AK$32*VALORI!$B$3)-(AK$33*VALORI!$B$5),0)</f>
        <v>0</v>
      </c>
      <c r="AL44" s="28">
        <f>IF(AL9&gt;0, AL9-(AL$30*VALORI!$B$4)-(AL$31*VALORI!$B$4)-(AL$32*VALORI!$B$3)-(AL$33*VALORI!$B$5),0)</f>
        <v>10660</v>
      </c>
      <c r="AM44" s="28">
        <f>IF(AM9&gt;0, AM9-(AM$30*VALORI!$B$4)-(AM$31*VALORI!$B$4)-(AM$32*VALORI!$B$3)-(AM$33*VALORI!$B$5),0)</f>
        <v>7358</v>
      </c>
      <c r="AN44" s="28">
        <f>IF(AN9&gt;0, AN9-(AN$30*VALORI!$B$4)-(AN$31*VALORI!$B$4)-(AN$32*VALORI!$B$3)-(AN$33*VALORI!$B$5),0)</f>
        <v>0</v>
      </c>
      <c r="AO44" s="28">
        <f>IF(AO9&gt;0, AO9-(AO$30*VALORI!$B$4)-(AO$31*VALORI!$B$4)-(AO$32*VALORI!$B$3)-(AO$33*VALORI!$B$5),0)</f>
        <v>0</v>
      </c>
      <c r="AQ44" s="28">
        <f>IF(AQ9&gt;0, AQ9-(AQ$30*VALORI!$B$4)-(AQ$31*VALORI!$B$4)-(AQ$32*VALORI!$B$3)-(AQ$33*VALORI!$B$5),0)</f>
        <v>0</v>
      </c>
      <c r="AR44" s="28">
        <f>IF(AR9&gt;0, AR9-(AR$30*VALORI!$B$4)-(AR$31*VALORI!$B$4)-(AR$32*VALORI!$B$3)-(AR$33*VALORI!$B$5),0)</f>
        <v>0</v>
      </c>
      <c r="AS44" s="28">
        <f>IF(AS9&gt;0, AS9-(AS$30*VALORI!$B$4)-(AS$31*VALORI!$B$4)-(AS$32*VALORI!$B$3)-(AS$33*VALORI!$B$5),0)</f>
        <v>0</v>
      </c>
      <c r="AT44" s="28">
        <f>IF(AT9&gt;0, AT9-(AT$30*VALORI!$B$4)-(AT$31*VALORI!$B$4)-(AT$32*VALORI!$B$3)-(AT$33*VALORI!$B$5),0)</f>
        <v>0</v>
      </c>
    </row>
    <row r="45" spans="9:46" ht="15.75" x14ac:dyDescent="0.25">
      <c r="W45" s="28">
        <f>IF(W10&gt;0, W10-(W$30*VALORI!$B$4)-(W$31*VALORI!$B$4)-(W$32*VALORI!$B$3)-(W$33*VALORI!$B$5),0)</f>
        <v>0</v>
      </c>
      <c r="X45" s="28">
        <f>IF(X10&gt;0, X10-(X$30*VALORI!$B$4)-(X$31*VALORI!$B$4)-(X$32*VALORI!$B$3)-(X$33*VALORI!$B$5),0)</f>
        <v>0</v>
      </c>
      <c r="Y45" s="28">
        <f>IF(Y10&gt;0, Y10-(Y$30*VALORI!$B$4)-(Y$31*VALORI!$B$4)-(Y$32*VALORI!$B$3)-(Y$33*VALORI!$B$5),0)</f>
        <v>0</v>
      </c>
      <c r="Z45" s="28">
        <f>IF(Z10&gt;0, Z10-(Z$30*VALORI!$B$4)-(Z$31*VALORI!$B$4)-(Z$32*VALORI!$B$3)-(Z$33*VALORI!$B$5),0)</f>
        <v>0</v>
      </c>
      <c r="AA45" s="28">
        <f>IF(AA10&gt;0, AA10-(AA$30*VALORI!$B$4)-(AA$31*VALORI!$B$4)-(AA$32*VALORI!$B$3)-(AA$33*VALORI!$B$5),0)</f>
        <v>0</v>
      </c>
      <c r="AB45" s="28">
        <f>IF(AB10&gt;0, AB10-(AB$30*VALORI!$B$4)-(AB$31*VALORI!$B$4)-(AB$32*VALORI!$B$3)-(AB$33*VALORI!$B$5),0)</f>
        <v>0</v>
      </c>
      <c r="AC45" s="28">
        <f>IF(AC10&gt;0, AC10-(AC$30*VALORI!$B$4)-(AC$31*VALORI!$B$4)-(AC$32*VALORI!$B$3)-(AC$33*VALORI!$B$5),0)</f>
        <v>0</v>
      </c>
      <c r="AD45" s="28">
        <f>IF(AD10&gt;0, AD10-(AD$30*VALORI!$B$4)-(AD$31*VALORI!$B$4)-(AD$32*VALORI!$B$3)-(AD$33*VALORI!$B$5),0)</f>
        <v>0</v>
      </c>
      <c r="AE45" s="28">
        <f>IF(AE10&gt;0, AE10-(AE$30*VALORI!$B$4)-(AE$31*VALORI!$B$4)-(AE$32*VALORI!$B$3)-(AE$33*VALORI!$B$5),0)</f>
        <v>0</v>
      </c>
      <c r="AF45" s="28">
        <f>IF(AF10&gt;0, AF10-(AF$30*VALORI!$B$4)-(AF$31*VALORI!$B$4)-(AF$32*VALORI!$B$3)-(AF$33*VALORI!$B$5),0)</f>
        <v>0</v>
      </c>
      <c r="AG45" s="28">
        <f>IF(AG10&gt;0, AG10-(AG$30*VALORI!$B$4)-(AG$31*VALORI!$B$4)-(AG$32*VALORI!$B$3)-(AG$33*VALORI!$B$5),0)</f>
        <v>0</v>
      </c>
      <c r="AH45" s="28">
        <f>IF(AH10&gt;0, AH10-(AH$30*VALORI!$B$4)-(AH$31*VALORI!$B$4)-(AH$32*VALORI!$B$3)-(AH$33*VALORI!$B$5),0)</f>
        <v>0</v>
      </c>
      <c r="AI45" s="28">
        <f>IF(AI10&gt;0, AI10-(AI$30*VALORI!$B$4)-(AI$31*VALORI!$B$4)-(AI$32*VALORI!$B$3)-(AI$33*VALORI!$B$5),0)</f>
        <v>0</v>
      </c>
      <c r="AJ45" s="28">
        <f>IF(AJ10&gt;0, AJ10-(AJ$30*VALORI!$B$4)-(AJ$31*VALORI!$B$4)-(AJ$32*VALORI!$B$3)-(AJ$33*VALORI!$B$5),0)</f>
        <v>0</v>
      </c>
      <c r="AK45" s="28">
        <f>IF(AK10&gt;0, AK10-(AK$30*VALORI!$B$4)-(AK$31*VALORI!$B$4)-(AK$32*VALORI!$B$3)-(AK$33*VALORI!$B$5),0)</f>
        <v>0</v>
      </c>
      <c r="AL45" s="28">
        <f>IF(AL10&gt;0, AL10-(AL$30*VALORI!$B$4)-(AL$31*VALORI!$B$4)-(AL$32*VALORI!$B$3)-(AL$33*VALORI!$B$5),0)</f>
        <v>0</v>
      </c>
      <c r="AM45" s="28">
        <f>IF(AM10&gt;0, AM10-(AM$30*VALORI!$B$4)-(AM$31*VALORI!$B$4)-(AM$32*VALORI!$B$3)-(AM$33*VALORI!$B$5),0)</f>
        <v>0</v>
      </c>
      <c r="AN45" s="28">
        <f>IF(AN10&gt;0, AN10-(AN$30*VALORI!$B$4)-(AN$31*VALORI!$B$4)-(AN$32*VALORI!$B$3)-(AN$33*VALORI!$B$5),0)</f>
        <v>0</v>
      </c>
      <c r="AO45" s="28">
        <f>IF(AO10&gt;0, AO10-(AO$30*VALORI!$B$4)-(AO$31*VALORI!$B$4)-(AO$32*VALORI!$B$3)-(AO$33*VALORI!$B$5),0)</f>
        <v>0</v>
      </c>
      <c r="AQ45" s="28">
        <f>IF(AQ10&gt;0, AQ10-(AQ$30*VALORI!$B$4)-(AQ$31*VALORI!$B$4)-(AQ$32*VALORI!$B$3)-(AQ$33*VALORI!$B$5),0)</f>
        <v>0</v>
      </c>
      <c r="AR45" s="28">
        <f>IF(AR10&gt;0, AR10-(AR$30*VALORI!$B$4)-(AR$31*VALORI!$B$4)-(AR$32*VALORI!$B$3)-(AR$33*VALORI!$B$5),0)</f>
        <v>0</v>
      </c>
      <c r="AS45" s="28">
        <f>IF(AS10&gt;0, AS10-(AS$30*VALORI!$B$4)-(AS$31*VALORI!$B$4)-(AS$32*VALORI!$B$3)-(AS$33*VALORI!$B$5),0)</f>
        <v>0</v>
      </c>
      <c r="AT45" s="28">
        <f>IF(AT10&gt;0, AT10-(AT$30*VALORI!$B$4)-(AT$31*VALORI!$B$4)-(AT$32*VALORI!$B$3)-(AT$33*VALORI!$B$5),0)</f>
        <v>0</v>
      </c>
    </row>
    <row r="46" spans="9:46" ht="15.75" x14ac:dyDescent="0.25">
      <c r="W46" s="28">
        <f>IF(W11&gt;0, W11-(W$30*VALORI!$B$4)-(W$31*VALORI!$B$4)-(W$32*VALORI!$B$3)-(W$33*VALORI!$B$5),0)</f>
        <v>0</v>
      </c>
      <c r="X46" s="28">
        <f>IF(X11&gt;0, X11-(X$30*VALORI!$B$4)-(X$31*VALORI!$B$4)-(X$32*VALORI!$B$3)-(X$33*VALORI!$B$5),0)</f>
        <v>0</v>
      </c>
      <c r="Y46" s="28">
        <f>IF(Y11&gt;0, Y11-(Y$30*VALORI!$B$4)-(Y$31*VALORI!$B$4)-(Y$32*VALORI!$B$3)-(Y$33*VALORI!$B$5),0)</f>
        <v>0</v>
      </c>
      <c r="Z46" s="28">
        <f>IF(Z11&gt;0, Z11-(Z$30*VALORI!$B$4)-(Z$31*VALORI!$B$4)-(Z$32*VALORI!$B$3)-(Z$33*VALORI!$B$5),0)</f>
        <v>0</v>
      </c>
      <c r="AA46" s="28">
        <f>IF(AA11&gt;0, AA11-(AA$30*VALORI!$B$4)-(AA$31*VALORI!$B$4)-(AA$32*VALORI!$B$3)-(AA$33*VALORI!$B$5),0)</f>
        <v>0</v>
      </c>
      <c r="AB46" s="28">
        <f>IF(AB11&gt;0, AB11-(AB$30*VALORI!$B$4)-(AB$31*VALORI!$B$4)-(AB$32*VALORI!$B$3)-(AB$33*VALORI!$B$5),0)</f>
        <v>0</v>
      </c>
      <c r="AC46" s="28">
        <f>IF(AC11&gt;0, AC11-(AC$30*VALORI!$B$4)-(AC$31*VALORI!$B$4)-(AC$32*VALORI!$B$3)-(AC$33*VALORI!$B$5),0)</f>
        <v>0</v>
      </c>
      <c r="AD46" s="28">
        <f>IF(AD11&gt;0, AD11-(AD$30*VALORI!$B$4)-(AD$31*VALORI!$B$4)-(AD$32*VALORI!$B$3)-(AD$33*VALORI!$B$5),0)</f>
        <v>0</v>
      </c>
      <c r="AE46" s="28">
        <f>IF(AE11&gt;0, AE11-(AE$30*VALORI!$B$4)-(AE$31*VALORI!$B$4)-(AE$32*VALORI!$B$3)-(AE$33*VALORI!$B$5),0)</f>
        <v>0</v>
      </c>
      <c r="AF46" s="28">
        <f>IF(AF11&gt;0, AF11-(AF$30*VALORI!$B$4)-(AF$31*VALORI!$B$4)-(AF$32*VALORI!$B$3)-(AF$33*VALORI!$B$5),0)</f>
        <v>0</v>
      </c>
      <c r="AG46" s="28">
        <f>IF(AG11&gt;0, AG11-(AG$30*VALORI!$B$4)-(AG$31*VALORI!$B$4)-(AG$32*VALORI!$B$3)-(AG$33*VALORI!$B$5),0)</f>
        <v>0</v>
      </c>
      <c r="AH46" s="28">
        <f>IF(AH11&gt;0, AH11-(AH$30*VALORI!$B$4)-(AH$31*VALORI!$B$4)-(AH$32*VALORI!$B$3)-(AH$33*VALORI!$B$5),0)</f>
        <v>0</v>
      </c>
      <c r="AI46" s="28">
        <f>IF(AI11&gt;0, AI11-(AI$30*VALORI!$B$4)-(AI$31*VALORI!$B$4)-(AI$32*VALORI!$B$3)-(AI$33*VALORI!$B$5),0)</f>
        <v>0</v>
      </c>
      <c r="AJ46" s="28">
        <f>IF(AJ11&gt;0, AJ11-(AJ$30*VALORI!$B$4)-(AJ$31*VALORI!$B$4)-(AJ$32*VALORI!$B$3)-(AJ$33*VALORI!$B$5),0)</f>
        <v>0</v>
      </c>
      <c r="AK46" s="28">
        <f>IF(AK11&gt;0, AK11-(AK$30*VALORI!$B$4)-(AK$31*VALORI!$B$4)-(AK$32*VALORI!$B$3)-(AK$33*VALORI!$B$5),0)</f>
        <v>0</v>
      </c>
      <c r="AL46" s="28">
        <f>IF(AL11&gt;0, AL11-(AL$30*VALORI!$B$4)-(AL$31*VALORI!$B$4)-(AL$32*VALORI!$B$3)-(AL$33*VALORI!$B$5),0)</f>
        <v>0</v>
      </c>
      <c r="AM46" s="28">
        <f>IF(AM11&gt;0, AM11-(AM$30*VALORI!$B$4)-(AM$31*VALORI!$B$4)-(AM$32*VALORI!$B$3)-(AM$33*VALORI!$B$5),0)</f>
        <v>0</v>
      </c>
      <c r="AN46" s="28">
        <f>IF(AN11&gt;0, AN11-(AN$30*VALORI!$B$4)-(AN$31*VALORI!$B$4)-(AN$32*VALORI!$B$3)-(AN$33*VALORI!$B$5),0)</f>
        <v>0</v>
      </c>
      <c r="AO46" s="28">
        <f>IF(AO11&gt;0, AO11-(AO$30*VALORI!$B$4)-(AO$31*VALORI!$B$4)-(AO$32*VALORI!$B$3)-(AO$33*VALORI!$B$5),0)</f>
        <v>0</v>
      </c>
      <c r="AQ46" s="28">
        <f>IF(AQ11&gt;0, AQ11-(AQ$30*VALORI!$B$4)-(AQ$31*VALORI!$B$4)-(AQ$32*VALORI!$B$3)-(AQ$33*VALORI!$B$5),0)</f>
        <v>0</v>
      </c>
      <c r="AR46" s="28">
        <f>IF(AR11&gt;0, AR11-(AR$30*VALORI!$B$4)-(AR$31*VALORI!$B$4)-(AR$32*VALORI!$B$3)-(AR$33*VALORI!$B$5),0)</f>
        <v>0</v>
      </c>
      <c r="AS46" s="28">
        <f>IF(AS11&gt;0, AS11-(AS$30*VALORI!$B$4)-(AS$31*VALORI!$B$4)-(AS$32*VALORI!$B$3)-(AS$33*VALORI!$B$5),0)</f>
        <v>0</v>
      </c>
      <c r="AT46" s="28">
        <f>IF(AT11&gt;0, AT11-(AT$30*VALORI!$B$4)-(AT$31*VALORI!$B$4)-(AT$32*VALORI!$B$3)-(AT$33*VALORI!$B$5),0)</f>
        <v>0</v>
      </c>
    </row>
    <row r="47" spans="9:46" ht="15.75" x14ac:dyDescent="0.25">
      <c r="W47" s="28">
        <f>IF(W12&gt;0, W12-(W$30*VALORI!$B$4)-(W$31*VALORI!$B$4)-(W$32*VALORI!$B$3)-(W$33*VALORI!$B$5),0)</f>
        <v>0</v>
      </c>
      <c r="X47" s="28">
        <f>IF(X12&gt;0, X12-(X$30*VALORI!$B$4)-(X$31*VALORI!$B$4)-(X$32*VALORI!$B$3)-(X$33*VALORI!$B$5),0)</f>
        <v>0</v>
      </c>
      <c r="Y47" s="28">
        <f>IF(Y12&gt;0, Y12-(Y$30*VALORI!$B$4)-(Y$31*VALORI!$B$4)-(Y$32*VALORI!$B$3)-(Y$33*VALORI!$B$5),0)</f>
        <v>0</v>
      </c>
      <c r="Z47" s="28">
        <f>IF(Z12&gt;0, Z12-(Z$30*VALORI!$B$4)-(Z$31*VALORI!$B$4)-(Z$32*VALORI!$B$3)-(Z$33*VALORI!$B$5),0)</f>
        <v>0</v>
      </c>
      <c r="AA47" s="28">
        <f>IF(AA12&gt;0, AA12-(AA$30*VALORI!$B$4)-(AA$31*VALORI!$B$4)-(AA$32*VALORI!$B$3)-(AA$33*VALORI!$B$5),0)</f>
        <v>0</v>
      </c>
      <c r="AB47" s="28">
        <f>IF(AB12&gt;0, AB12-(AB$30*VALORI!$B$4)-(AB$31*VALORI!$B$4)-(AB$32*VALORI!$B$3)-(AB$33*VALORI!$B$5),0)</f>
        <v>0</v>
      </c>
      <c r="AC47" s="28">
        <f>IF(AC12&gt;0, AC12-(AC$30*VALORI!$B$4)-(AC$31*VALORI!$B$4)-(AC$32*VALORI!$B$3)-(AC$33*VALORI!$B$5),0)</f>
        <v>0</v>
      </c>
      <c r="AD47" s="28">
        <f>IF(AD12&gt;0, AD12-(AD$30*VALORI!$B$4)-(AD$31*VALORI!$B$4)-(AD$32*VALORI!$B$3)-(AD$33*VALORI!$B$5),0)</f>
        <v>0</v>
      </c>
      <c r="AE47" s="28">
        <f>IF(AE12&gt;0, AE12-(AE$30*VALORI!$B$4)-(AE$31*VALORI!$B$4)-(AE$32*VALORI!$B$3)-(AE$33*VALORI!$B$5),0)</f>
        <v>0</v>
      </c>
      <c r="AF47" s="28">
        <f>IF(AF12&gt;0, AF12-(AF$30*VALORI!$B$4)-(AF$31*VALORI!$B$4)-(AF$32*VALORI!$B$3)-(AF$33*VALORI!$B$5),0)</f>
        <v>0</v>
      </c>
      <c r="AG47" s="28">
        <f>IF(AG12&gt;0, AG12-(AG$30*VALORI!$B$4)-(AG$31*VALORI!$B$4)-(AG$32*VALORI!$B$3)-(AG$33*VALORI!$B$5),0)</f>
        <v>0</v>
      </c>
      <c r="AH47" s="28">
        <f>IF(AH12&gt;0, AH12-(AH$30*VALORI!$B$4)-(AH$31*VALORI!$B$4)-(AH$32*VALORI!$B$3)-(AH$33*VALORI!$B$5),0)</f>
        <v>0</v>
      </c>
      <c r="AI47" s="28">
        <f>IF(AI12&gt;0, AI12-(AI$30*VALORI!$B$4)-(AI$31*VALORI!$B$4)-(AI$32*VALORI!$B$3)-(AI$33*VALORI!$B$5),0)</f>
        <v>0</v>
      </c>
      <c r="AJ47" s="28">
        <f>IF(AJ12&gt;0, AJ12-(AJ$30*VALORI!$B$4)-(AJ$31*VALORI!$B$4)-(AJ$32*VALORI!$B$3)-(AJ$33*VALORI!$B$5),0)</f>
        <v>0</v>
      </c>
      <c r="AK47" s="28">
        <f>IF(AK12&gt;0, AK12-(AK$30*VALORI!$B$4)-(AK$31*VALORI!$B$4)-(AK$32*VALORI!$B$3)-(AK$33*VALORI!$B$5),0)</f>
        <v>0</v>
      </c>
      <c r="AL47" s="28">
        <f>IF(AL12&gt;0, AL12-(AL$30*VALORI!$B$4)-(AL$31*VALORI!$B$4)-(AL$32*VALORI!$B$3)-(AL$33*VALORI!$B$5),0)</f>
        <v>0</v>
      </c>
      <c r="AM47" s="28">
        <f>IF(AM12&gt;0, AM12-(AM$30*VALORI!$B$4)-(AM$31*VALORI!$B$4)-(AM$32*VALORI!$B$3)-(AM$33*VALORI!$B$5),0)</f>
        <v>0</v>
      </c>
      <c r="AN47" s="28">
        <f>IF(AN12&gt;0, AN12-(AN$30*VALORI!$B$4)-(AN$31*VALORI!$B$4)-(AN$32*VALORI!$B$3)-(AN$33*VALORI!$B$5),0)</f>
        <v>0</v>
      </c>
      <c r="AO47" s="28">
        <f>IF(AO12&gt;0, AO12-(AO$30*VALORI!$B$4)-(AO$31*VALORI!$B$4)-(AO$32*VALORI!$B$3)-(AO$33*VALORI!$B$5),0)</f>
        <v>0</v>
      </c>
      <c r="AQ47" s="28">
        <f>IF(AQ12&gt;0, AQ12-(AQ$30*VALORI!$B$4)-(AQ$31*VALORI!$B$4)-(AQ$32*VALORI!$B$3)-(AQ$33*VALORI!$B$5),0)</f>
        <v>0</v>
      </c>
      <c r="AR47" s="28">
        <f>IF(AR12&gt;0, AR12-(AR$30*VALORI!$B$4)-(AR$31*VALORI!$B$4)-(AR$32*VALORI!$B$3)-(AR$33*VALORI!$B$5),0)</f>
        <v>0</v>
      </c>
      <c r="AS47" s="28">
        <f>IF(AS12&gt;0, AS12-(AS$30*VALORI!$B$4)-(AS$31*VALORI!$B$4)-(AS$32*VALORI!$B$3)-(AS$33*VALORI!$B$5),0)</f>
        <v>0</v>
      </c>
      <c r="AT47" s="28">
        <f>IF(AT12&gt;0, AT12-(AT$30*VALORI!$B$4)-(AT$31*VALORI!$B$4)-(AT$32*VALORI!$B$3)-(AT$33*VALORI!$B$5),0)</f>
        <v>0</v>
      </c>
    </row>
    <row r="48" spans="9:46" ht="15.75" x14ac:dyDescent="0.25">
      <c r="W48" s="28">
        <f>IF(W13&gt;0, W13-(W$30*VALORI!$B$4)-(W$31*VALORI!$B$4)-(W$32*VALORI!$B$3)-(W$33*VALORI!$B$5),0)</f>
        <v>0</v>
      </c>
      <c r="X48" s="28">
        <f>IF(X13&gt;0, X13-(X$30*VALORI!$B$4)-(X$31*VALORI!$B$4)-(X$32*VALORI!$B$3)-(X$33*VALORI!$B$5),0)</f>
        <v>0</v>
      </c>
      <c r="Y48" s="28">
        <f>IF(Y13&gt;0, Y13-(Y$30*VALORI!$B$4)-(Y$31*VALORI!$B$4)-(Y$32*VALORI!$B$3)-(Y$33*VALORI!$B$5),0)</f>
        <v>0</v>
      </c>
      <c r="Z48" s="28">
        <f>IF(Z13&gt;0, Z13-(Z$30*VALORI!$B$4)-(Z$31*VALORI!$B$4)-(Z$32*VALORI!$B$3)-(Z$33*VALORI!$B$5),0)</f>
        <v>0</v>
      </c>
      <c r="AA48" s="28">
        <f>IF(AA13&gt;0, AA13-(AA$30*VALORI!$B$4)-(AA$31*VALORI!$B$4)-(AA$32*VALORI!$B$3)-(AA$33*VALORI!$B$5),0)</f>
        <v>0</v>
      </c>
      <c r="AB48" s="28">
        <f>IF(AB13&gt;0, AB13-(AB$30*VALORI!$B$4)-(AB$31*VALORI!$B$4)-(AB$32*VALORI!$B$3)-(AB$33*VALORI!$B$5),0)</f>
        <v>0</v>
      </c>
      <c r="AC48" s="28">
        <f>IF(AC13&gt;0, AC13-(AC$30*VALORI!$B$4)-(AC$31*VALORI!$B$4)-(AC$32*VALORI!$B$3)-(AC$33*VALORI!$B$5),0)</f>
        <v>0</v>
      </c>
      <c r="AD48" s="28">
        <f>IF(AD13&gt;0, AD13-(AD$30*VALORI!$B$4)-(AD$31*VALORI!$B$4)-(AD$32*VALORI!$B$3)-(AD$33*VALORI!$B$5),0)</f>
        <v>0</v>
      </c>
      <c r="AE48" s="28">
        <f>IF(AE13&gt;0, AE13-(AE$30*VALORI!$B$4)-(AE$31*VALORI!$B$4)-(AE$32*VALORI!$B$3)-(AE$33*VALORI!$B$5),0)</f>
        <v>0</v>
      </c>
      <c r="AF48" s="28">
        <f>IF(AF13&gt;0, AF13-(AF$30*VALORI!$B$4)-(AF$31*VALORI!$B$4)-(AF$32*VALORI!$B$3)-(AF$33*VALORI!$B$5),0)</f>
        <v>0</v>
      </c>
      <c r="AG48" s="28">
        <f>IF(AG13&gt;0, AG13-(AG$30*VALORI!$B$4)-(AG$31*VALORI!$B$4)-(AG$32*VALORI!$B$3)-(AG$33*VALORI!$B$5),0)</f>
        <v>0</v>
      </c>
      <c r="AH48" s="28">
        <f>IF(AH13&gt;0, AH13-(AH$30*VALORI!$B$4)-(AH$31*VALORI!$B$4)-(AH$32*VALORI!$B$3)-(AH$33*VALORI!$B$5),0)</f>
        <v>0</v>
      </c>
      <c r="AI48" s="28">
        <f>IF(AI13&gt;0, AI13-(AI$30*VALORI!$B$4)-(AI$31*VALORI!$B$4)-(AI$32*VALORI!$B$3)-(AI$33*VALORI!$B$5),0)</f>
        <v>0</v>
      </c>
      <c r="AJ48" s="28">
        <f>IF(AJ13&gt;0, AJ13-(AJ$30*VALORI!$B$4)-(AJ$31*VALORI!$B$4)-(AJ$32*VALORI!$B$3)-(AJ$33*VALORI!$B$5),0)</f>
        <v>0</v>
      </c>
      <c r="AK48" s="28">
        <f>IF(AK13&gt;0, AK13-(AK$30*VALORI!$B$4)-(AK$31*VALORI!$B$4)-(AK$32*VALORI!$B$3)-(AK$33*VALORI!$B$5),0)</f>
        <v>0</v>
      </c>
      <c r="AL48" s="28">
        <f>IF(AL13&gt;0, AL13-(AL$30*VALORI!$B$4)-(AL$31*VALORI!$B$4)-(AL$32*VALORI!$B$3)-(AL$33*VALORI!$B$5),0)</f>
        <v>0</v>
      </c>
      <c r="AM48" s="28">
        <f>IF(AM13&gt;0, AM13-(AM$30*VALORI!$B$4)-(AM$31*VALORI!$B$4)-(AM$32*VALORI!$B$3)-(AM$33*VALORI!$B$5),0)</f>
        <v>0</v>
      </c>
      <c r="AN48" s="28">
        <f>IF(AN13&gt;0, AN13-(AN$30*VALORI!$B$4)-(AN$31*VALORI!$B$4)-(AN$32*VALORI!$B$3)-(AN$33*VALORI!$B$5),0)</f>
        <v>0</v>
      </c>
      <c r="AO48" s="28">
        <f>IF(AO13&gt;0, AO13-(AO$30*VALORI!$B$4)-(AO$31*VALORI!$B$4)-(AO$32*VALORI!$B$3)-(AO$33*VALORI!$B$5),0)</f>
        <v>0</v>
      </c>
      <c r="AQ48" s="28">
        <f>IF(AQ13&gt;0, AQ13-(AQ$30*VALORI!$B$4)-(AQ$31*VALORI!$B$4)-(AQ$32*VALORI!$B$3)-(AQ$33*VALORI!$B$5),0)</f>
        <v>0</v>
      </c>
      <c r="AR48" s="28">
        <f>IF(AR13&gt;0, AR13-(AR$30*VALORI!$B$4)-(AR$31*VALORI!$B$4)-(AR$32*VALORI!$B$3)-(AR$33*VALORI!$B$5),0)</f>
        <v>0</v>
      </c>
      <c r="AS48" s="28">
        <f>IF(AS13&gt;0, AS13-(AS$30*VALORI!$B$4)-(AS$31*VALORI!$B$4)-(AS$32*VALORI!$B$3)-(AS$33*VALORI!$B$5),0)</f>
        <v>0</v>
      </c>
      <c r="AT48" s="28">
        <f>IF(AT13&gt;0, AT13-(AT$30*VALORI!$B$4)-(AT$31*VALORI!$B$4)-(AT$32*VALORI!$B$3)-(AT$33*VALORI!$B$5),0)</f>
        <v>0</v>
      </c>
    </row>
    <row r="49" spans="23:46" ht="15.75" x14ac:dyDescent="0.25">
      <c r="W49" s="28">
        <f>IF(W14&gt;0, W14-(W$30*VALORI!$B$4)-(W$31*VALORI!$B$4)-(W$32*VALORI!$B$3)-(W$33*VALORI!$B$5),0)</f>
        <v>0</v>
      </c>
      <c r="X49" s="28">
        <f>IF(X14&gt;0, X14-(X$30*VALORI!$B$4)-(X$31*VALORI!$B$4)-(X$32*VALORI!$B$3)-(X$33*VALORI!$B$5),0)</f>
        <v>0</v>
      </c>
      <c r="Y49" s="28">
        <f>IF(Y14&gt;0, Y14-(Y$30*VALORI!$B$4)-(Y$31*VALORI!$B$4)-(Y$32*VALORI!$B$3)-(Y$33*VALORI!$B$5),0)</f>
        <v>0</v>
      </c>
      <c r="Z49" s="28">
        <f>IF(Z14&gt;0, Z14-(Z$30*VALORI!$B$4)-(Z$31*VALORI!$B$4)-(Z$32*VALORI!$B$3)-(Z$33*VALORI!$B$5),0)</f>
        <v>0</v>
      </c>
      <c r="AA49" s="28">
        <f>IF(AA14&gt;0, AA14-(AA$30*VALORI!$B$4)-(AA$31*VALORI!$B$4)-(AA$32*VALORI!$B$3)-(AA$33*VALORI!$B$5),0)</f>
        <v>0</v>
      </c>
      <c r="AB49" s="28">
        <f>IF(AB14&gt;0, AB14-(AB$30*VALORI!$B$4)-(AB$31*VALORI!$B$4)-(AB$32*VALORI!$B$3)-(AB$33*VALORI!$B$5),0)</f>
        <v>0</v>
      </c>
      <c r="AC49" s="28">
        <f>IF(AC14&gt;0, AC14-(AC$30*VALORI!$B$4)-(AC$31*VALORI!$B$4)-(AC$32*VALORI!$B$3)-(AC$33*VALORI!$B$5),0)</f>
        <v>0</v>
      </c>
      <c r="AD49" s="28">
        <f>IF(AD14&gt;0, AD14-(AD$30*VALORI!$B$4)-(AD$31*VALORI!$B$4)-(AD$32*VALORI!$B$3)-(AD$33*VALORI!$B$5),0)</f>
        <v>0</v>
      </c>
      <c r="AE49" s="28">
        <f>IF(AE14&gt;0, AE14-(AE$30*VALORI!$B$4)-(AE$31*VALORI!$B$4)-(AE$32*VALORI!$B$3)-(AE$33*VALORI!$B$5),0)</f>
        <v>0</v>
      </c>
      <c r="AF49" s="28">
        <f>IF(AF14&gt;0, AF14-(AF$30*VALORI!$B$4)-(AF$31*VALORI!$B$4)-(AF$32*VALORI!$B$3)-(AF$33*VALORI!$B$5),0)</f>
        <v>0</v>
      </c>
      <c r="AG49" s="28">
        <f>IF(AG14&gt;0, AG14-(AG$30*VALORI!$B$4)-(AG$31*VALORI!$B$4)-(AG$32*VALORI!$B$3)-(AG$33*VALORI!$B$5),0)</f>
        <v>0</v>
      </c>
      <c r="AH49" s="28">
        <f>IF(AH14&gt;0, AH14-(AH$30*VALORI!$B$4)-(AH$31*VALORI!$B$4)-(AH$32*VALORI!$B$3)-(AH$33*VALORI!$B$5),0)</f>
        <v>0</v>
      </c>
      <c r="AI49" s="28">
        <f>IF(AI14&gt;0, AI14-(AI$30*VALORI!$B$4)-(AI$31*VALORI!$B$4)-(AI$32*VALORI!$B$3)-(AI$33*VALORI!$B$5),0)</f>
        <v>0</v>
      </c>
      <c r="AJ49" s="28">
        <f>IF(AJ14&gt;0, AJ14-(AJ$30*VALORI!$B$4)-(AJ$31*VALORI!$B$4)-(AJ$32*VALORI!$B$3)-(AJ$33*VALORI!$B$5),0)</f>
        <v>0</v>
      </c>
      <c r="AK49" s="28">
        <f>IF(AK14&gt;0, AK14-(AK$30*VALORI!$B$4)-(AK$31*VALORI!$B$4)-(AK$32*VALORI!$B$3)-(AK$33*VALORI!$B$5),0)</f>
        <v>0</v>
      </c>
      <c r="AL49" s="28">
        <f>IF(AL14&gt;0, AL14-(AL$30*VALORI!$B$4)-(AL$31*VALORI!$B$4)-(AL$32*VALORI!$B$3)-(AL$33*VALORI!$B$5),0)</f>
        <v>0</v>
      </c>
      <c r="AM49" s="28">
        <f>IF(AM14&gt;0, AM14-(AM$30*VALORI!$B$4)-(AM$31*VALORI!$B$4)-(AM$32*VALORI!$B$3)-(AM$33*VALORI!$B$5),0)</f>
        <v>0</v>
      </c>
      <c r="AN49" s="28">
        <f>IF(AN14&gt;0, AN14-(AN$30*VALORI!$B$4)-(AN$31*VALORI!$B$4)-(AN$32*VALORI!$B$3)-(AN$33*VALORI!$B$5),0)</f>
        <v>0</v>
      </c>
      <c r="AO49" s="28">
        <f>IF(AO14&gt;0, AO14-(AO$30*VALORI!$B$4)-(AO$31*VALORI!$B$4)-(AO$32*VALORI!$B$3)-(AO$33*VALORI!$B$5),0)</f>
        <v>0</v>
      </c>
      <c r="AQ49" s="28">
        <f>IF(AQ14&gt;0, AQ14-(AQ$30*VALORI!$B$4)-(AQ$31*VALORI!$B$4)-(AQ$32*VALORI!$B$3)-(AQ$33*VALORI!$B$5),0)</f>
        <v>0</v>
      </c>
      <c r="AR49" s="28">
        <f>IF(AR14&gt;0, AR14-(AR$30*VALORI!$B$4)-(AR$31*VALORI!$B$4)-(AR$32*VALORI!$B$3)-(AR$33*VALORI!$B$5),0)</f>
        <v>0</v>
      </c>
      <c r="AS49" s="28">
        <f>IF(AS14&gt;0, AS14-(AS$30*VALORI!$B$4)-(AS$31*VALORI!$B$4)-(AS$32*VALORI!$B$3)-(AS$33*VALORI!$B$5),0)</f>
        <v>0</v>
      </c>
      <c r="AT49" s="28">
        <f>IF(AT14&gt;0, AT14-(AT$30*VALORI!$B$4)-(AT$31*VALORI!$B$4)-(AT$32*VALORI!$B$3)-(AT$33*VALORI!$B$5),0)</f>
        <v>0</v>
      </c>
    </row>
    <row r="50" spans="23:46" ht="15.75" x14ac:dyDescent="0.25">
      <c r="W50" s="28">
        <f>IF(W15&gt;0, W15-(W$30*VALORI!$B$4)-(W$31*VALORI!$B$4)-(W$32*VALORI!$B$3)-(W$33*VALORI!$B$5),0)</f>
        <v>0</v>
      </c>
      <c r="X50" s="28">
        <f>IF(X15&gt;0, X15-(X$30*VALORI!$B$4)-(X$31*VALORI!$B$4)-(X$32*VALORI!$B$3)-(X$33*VALORI!$B$5),0)</f>
        <v>0</v>
      </c>
      <c r="Y50" s="28">
        <f>IF(Y15&gt;0, Y15-(Y$30*VALORI!$B$4)-(Y$31*VALORI!$B$4)-(Y$32*VALORI!$B$3)-(Y$33*VALORI!$B$5),0)</f>
        <v>0</v>
      </c>
      <c r="Z50" s="28">
        <f>IF(Z15&gt;0, Z15-(Z$30*VALORI!$B$4)-(Z$31*VALORI!$B$4)-(Z$32*VALORI!$B$3)-(Z$33*VALORI!$B$5),0)</f>
        <v>0</v>
      </c>
      <c r="AA50" s="28">
        <f>IF(AA15&gt;0, AA15-(AA$30*VALORI!$B$4)-(AA$31*VALORI!$B$4)-(AA$32*VALORI!$B$3)-(AA$33*VALORI!$B$5),0)</f>
        <v>0</v>
      </c>
      <c r="AB50" s="28">
        <f>IF(AB15&gt;0, AB15-(AB$30*VALORI!$B$4)-(AB$31*VALORI!$B$4)-(AB$32*VALORI!$B$3)-(AB$33*VALORI!$B$5),0)</f>
        <v>0</v>
      </c>
      <c r="AC50" s="28">
        <f>IF(AC15&gt;0, AC15-(AC$30*VALORI!$B$4)-(AC$31*VALORI!$B$4)-(AC$32*VALORI!$B$3)-(AC$33*VALORI!$B$5),0)</f>
        <v>0</v>
      </c>
      <c r="AD50" s="28">
        <f>IF(AD15&gt;0, AD15-(AD$30*VALORI!$B$4)-(AD$31*VALORI!$B$4)-(AD$32*VALORI!$B$3)-(AD$33*VALORI!$B$5),0)</f>
        <v>0</v>
      </c>
      <c r="AE50" s="28">
        <f>IF(AE15&gt;0, AE15-(AE$30*VALORI!$B$4)-(AE$31*VALORI!$B$4)-(AE$32*VALORI!$B$3)-(AE$33*VALORI!$B$5),0)</f>
        <v>0</v>
      </c>
      <c r="AF50" s="28">
        <f>IF(AF15&gt;0, AF15-(AF$30*VALORI!$B$4)-(AF$31*VALORI!$B$4)-(AF$32*VALORI!$B$3)-(AF$33*VALORI!$B$5),0)</f>
        <v>0</v>
      </c>
      <c r="AG50" s="28">
        <f>IF(AG15&gt;0, AG15-(AG$30*VALORI!$B$4)-(AG$31*VALORI!$B$4)-(AG$32*VALORI!$B$3)-(AG$33*VALORI!$B$5),0)</f>
        <v>0</v>
      </c>
      <c r="AH50" s="28">
        <f>IF(AH15&gt;0, AH15-(AH$30*VALORI!$B$4)-(AH$31*VALORI!$B$4)-(AH$32*VALORI!$B$3)-(AH$33*VALORI!$B$5),0)</f>
        <v>0</v>
      </c>
      <c r="AI50" s="28">
        <f>IF(AI15&gt;0, AI15-(AI$30*VALORI!$B$4)-(AI$31*VALORI!$B$4)-(AI$32*VALORI!$B$3)-(AI$33*VALORI!$B$5),0)</f>
        <v>0</v>
      </c>
      <c r="AJ50" s="28">
        <f>IF(AJ15&gt;0, AJ15-(AJ$30*VALORI!$B$4)-(AJ$31*VALORI!$B$4)-(AJ$32*VALORI!$B$3)-(AJ$33*VALORI!$B$5),0)</f>
        <v>0</v>
      </c>
      <c r="AK50" s="28">
        <f>IF(AK15&gt;0, AK15-(AK$30*VALORI!$B$4)-(AK$31*VALORI!$B$4)-(AK$32*VALORI!$B$3)-(AK$33*VALORI!$B$5),0)</f>
        <v>0</v>
      </c>
      <c r="AL50" s="28">
        <f>IF(AL15&gt;0, AL15-(AL$30*VALORI!$B$4)-(AL$31*VALORI!$B$4)-(AL$32*VALORI!$B$3)-(AL$33*VALORI!$B$5),0)</f>
        <v>0</v>
      </c>
      <c r="AM50" s="28">
        <f>IF(AM15&gt;0, AM15-(AM$30*VALORI!$B$4)-(AM$31*VALORI!$B$4)-(AM$32*VALORI!$B$3)-(AM$33*VALORI!$B$5),0)</f>
        <v>0</v>
      </c>
      <c r="AN50" s="28">
        <f>IF(AN15&gt;0, AN15-(AN$30*VALORI!$B$4)-(AN$31*VALORI!$B$4)-(AN$32*VALORI!$B$3)-(AN$33*VALORI!$B$5),0)</f>
        <v>0</v>
      </c>
      <c r="AO50" s="28">
        <f>IF(AO15&gt;0, AO15-(AO$30*VALORI!$B$4)-(AO$31*VALORI!$B$4)-(AO$32*VALORI!$B$3)-(AO$33*VALORI!$B$5),0)</f>
        <v>0</v>
      </c>
      <c r="AQ50" s="28">
        <f>IF(AQ15&gt;0, AQ15-(AQ$30*VALORI!$B$4)-(AQ$31*VALORI!$B$4)-(AQ$32*VALORI!$B$3)-(AQ$33*VALORI!$B$5),0)</f>
        <v>0</v>
      </c>
      <c r="AR50" s="28">
        <f>IF(AR15&gt;0, AR15-(AR$30*VALORI!$B$4)-(AR$31*VALORI!$B$4)-(AR$32*VALORI!$B$3)-(AR$33*VALORI!$B$5),0)</f>
        <v>0</v>
      </c>
      <c r="AS50" s="28">
        <f>IF(AS15&gt;0, AS15-(AS$30*VALORI!$B$4)-(AS$31*VALORI!$B$4)-(AS$32*VALORI!$B$3)-(AS$33*VALORI!$B$5),0)</f>
        <v>0</v>
      </c>
      <c r="AT50" s="28">
        <f>IF(AT15&gt;0, AT15-(AT$30*VALORI!$B$4)-(AT$31*VALORI!$B$4)-(AT$32*VALORI!$B$3)-(AT$33*VALORI!$B$5),0)</f>
        <v>0</v>
      </c>
    </row>
    <row r="51" spans="23:46" ht="15.75" x14ac:dyDescent="0.25">
      <c r="W51" s="28">
        <f>IF(W25&gt;0, W25-(W$30*VALORI!$B$4)-(W$31*VALORI!$B$4)-(W$32*VALORI!$B$3)-(W$33*VALORI!$B$5),0)</f>
        <v>0</v>
      </c>
      <c r="X51" s="28">
        <f>IF(X25&gt;0, X25-(X$30*VALORI!$B$4)-(X$31*VALORI!$B$4)-(X$32*VALORI!$B$3)-(X$33*VALORI!$B$5),0)</f>
        <v>0</v>
      </c>
      <c r="Y51" s="28">
        <f>IF(Y25&gt;0, Y25-(Y$30*VALORI!$B$4)-(Y$31*VALORI!$B$4)-(Y$32*VALORI!$B$3)-(Y$33*VALORI!$B$5),0)</f>
        <v>0</v>
      </c>
      <c r="Z51" s="28">
        <f>IF(Z25&gt;0, Z25-(Z$30*VALORI!$B$4)-(Z$31*VALORI!$B$4)-(Z$32*VALORI!$B$3)-(Z$33*VALORI!$B$5),0)</f>
        <v>0</v>
      </c>
      <c r="AA51" s="28">
        <f>IF(AA25&gt;0, AA25-(AA$30*VALORI!$B$4)-(AA$31*VALORI!$B$4)-(AA$32*VALORI!$B$3)-(AA$33*VALORI!$B$5),0)</f>
        <v>0</v>
      </c>
      <c r="AB51" s="28">
        <f>IF(AB25&gt;0, AB25-(AB$30*VALORI!$B$4)-(AB$31*VALORI!$B$4)-(AB$32*VALORI!$B$3)-(AB$33*VALORI!$B$5),0)</f>
        <v>0</v>
      </c>
      <c r="AC51" s="28">
        <f>IF(AC25&gt;0, AC25-(AC$30*VALORI!$B$4)-(AC$31*VALORI!$B$4)-(AC$32*VALORI!$B$3)-(AC$33*VALORI!$B$5),0)</f>
        <v>0</v>
      </c>
      <c r="AD51" s="28">
        <f>IF(AD25&gt;0, AD25-(AD$30*VALORI!$B$4)-(AD$31*VALORI!$B$4)-(AD$32*VALORI!$B$3)-(AD$33*VALORI!$B$5),0)</f>
        <v>0</v>
      </c>
      <c r="AE51" s="28">
        <f>IF(AE25&gt;0, AE25-(AE$30*VALORI!$B$4)-(AE$31*VALORI!$B$4)-(AE$32*VALORI!$B$3)-(AE$33*VALORI!$B$5),0)</f>
        <v>0</v>
      </c>
      <c r="AF51" s="28">
        <f>IF(AF25&gt;0, AF25-(AF$30*VALORI!$B$4)-(AF$31*VALORI!$B$4)-(AF$32*VALORI!$B$3)-(AF$33*VALORI!$B$5),0)</f>
        <v>0</v>
      </c>
      <c r="AG51" s="28">
        <f>IF(AG25&gt;0, AG25-(AG$30*VALORI!$B$4)-(AG$31*VALORI!$B$4)-(AG$32*VALORI!$B$3)-(AG$33*VALORI!$B$5),0)</f>
        <v>0</v>
      </c>
      <c r="AH51" s="28">
        <f>IF(AH25&gt;0, AH25-(AH$30*VALORI!$B$4)-(AH$31*VALORI!$B$4)-(AH$32*VALORI!$B$3)-(AH$33*VALORI!$B$5),0)</f>
        <v>0</v>
      </c>
      <c r="AI51" s="28">
        <f>IF(AI25&gt;0, AI25-(AI$30*VALORI!$B$4)-(AI$31*VALORI!$B$4)-(AI$32*VALORI!$B$3)-(AI$33*VALORI!$B$5),0)</f>
        <v>0</v>
      </c>
      <c r="AJ51" s="28">
        <f>IF(AJ25&gt;0, AJ25-(AJ$30*VALORI!$B$4)-(AJ$31*VALORI!$B$4)-(AJ$32*VALORI!$B$3)-(AJ$33*VALORI!$B$5),0)</f>
        <v>0</v>
      </c>
      <c r="AK51" s="28">
        <f>IF(AK25&gt;0, AK25-(AK$30*VALORI!$B$4)-(AK$31*VALORI!$B$4)-(AK$32*VALORI!$B$3)-(AK$33*VALORI!$B$5),0)</f>
        <v>0</v>
      </c>
      <c r="AL51" s="28">
        <f>IF(AL25&gt;0, AL25-(AL$30*VALORI!$B$4)-(AL$31*VALORI!$B$4)-(AL$32*VALORI!$B$3)-(AL$33*VALORI!$B$5),0)</f>
        <v>0</v>
      </c>
      <c r="AM51" s="28">
        <f>IF(AM25&gt;0, AM25-(AM$30*VALORI!$B$4)-(AM$31*VALORI!$B$4)-(AM$32*VALORI!$B$3)-(AM$33*VALORI!$B$5),0)</f>
        <v>0</v>
      </c>
      <c r="AN51" s="28">
        <f>IF(AN25&gt;0, AN25-(AN$30*VALORI!$B$4)-(AN$31*VALORI!$B$4)-(AN$32*VALORI!$B$3)-(AN$33*VALORI!$B$5),0)</f>
        <v>0</v>
      </c>
      <c r="AO51" s="28">
        <f>IF(AO25&gt;0, AO25-(AO$30*VALORI!$B$4)-(AO$31*VALORI!$B$4)-(AO$32*VALORI!$B$3)-(AO$33*VALORI!$B$5),0)</f>
        <v>0</v>
      </c>
      <c r="AQ51" s="28">
        <f>IF(AQ25&gt;0, AQ25-(AQ$30*VALORI!$B$4)-(AQ$31*VALORI!$B$4)-(AQ$32*VALORI!$B$3)-(AQ$33*VALORI!$B$5),0)</f>
        <v>0</v>
      </c>
      <c r="AR51" s="28">
        <f>IF(AR25&gt;0, AR25-(AR$30*VALORI!$B$4)-(AR$31*VALORI!$B$4)-(AR$32*VALORI!$B$3)-(AR$33*VALORI!$B$5),0)</f>
        <v>0</v>
      </c>
      <c r="AS51" s="28">
        <f>IF(AS25&gt;0, AS25-(AS$30*VALORI!$B$4)-(AS$31*VALORI!$B$4)-(AS$32*VALORI!$B$3)-(AS$33*VALORI!$B$5),0)</f>
        <v>0</v>
      </c>
      <c r="AT51" s="28">
        <f>IF(AT25&gt;0, AT25-(AT$30*VALORI!$B$4)-(AT$31*VALORI!$B$4)-(AT$32*VALORI!$B$3)-(AT$33*VALORI!$B$5),0)</f>
        <v>0</v>
      </c>
    </row>
    <row r="52" spans="23:46" ht="15.75" x14ac:dyDescent="0.25">
      <c r="W52" s="28">
        <f>IF(W26&gt;0, W26-(W$30*VALORI!$B$4)-(W$31*VALORI!$B$4)-(W$32*VALORI!$B$3)-(W$33*VALORI!$B$5),0)</f>
        <v>0</v>
      </c>
      <c r="X52" s="28">
        <f>IF(X26&gt;0, X26-(X$30*VALORI!$B$4)-(X$31*VALORI!$B$4)-(X$32*VALORI!$B$3)-(X$33*VALORI!$B$5),0)</f>
        <v>0</v>
      </c>
      <c r="Y52" s="28">
        <f>IF(Y26&gt;0, Y26-(Y$30*VALORI!$B$4)-(Y$31*VALORI!$B$4)-(Y$32*VALORI!$B$3)-(Y$33*VALORI!$B$5),0)</f>
        <v>0</v>
      </c>
      <c r="Z52" s="28">
        <f>IF(Z26&gt;0, Z26-(Z$30*VALORI!$B$4)-(Z$31*VALORI!$B$4)-(Z$32*VALORI!$B$3)-(Z$33*VALORI!$B$5),0)</f>
        <v>0</v>
      </c>
      <c r="AA52" s="28">
        <f>IF(AA26&gt;0, AA26-(AA$30*VALORI!$B$4)-(AA$31*VALORI!$B$4)-(AA$32*VALORI!$B$3)-(AA$33*VALORI!$B$5),0)</f>
        <v>0</v>
      </c>
      <c r="AB52" s="28">
        <f>IF(AB26&gt;0, AB26-(AB$30*VALORI!$B$4)-(AB$31*VALORI!$B$4)-(AB$32*VALORI!$B$3)-(AB$33*VALORI!$B$5),0)</f>
        <v>0</v>
      </c>
      <c r="AC52" s="28">
        <f>IF(AC26&gt;0, AC26-(AC$30*VALORI!$B$4)-(AC$31*VALORI!$B$4)-(AC$32*VALORI!$B$3)-(AC$33*VALORI!$B$5),0)</f>
        <v>0</v>
      </c>
      <c r="AD52" s="28">
        <f>IF(AD26&gt;0, AD26-(AD$30*VALORI!$B$4)-(AD$31*VALORI!$B$4)-(AD$32*VALORI!$B$3)-(AD$33*VALORI!$B$5),0)</f>
        <v>0</v>
      </c>
      <c r="AE52" s="28">
        <f>IF(AE26&gt;0, AE26-(AE$30*VALORI!$B$4)-(AE$31*VALORI!$B$4)-(AE$32*VALORI!$B$3)-(AE$33*VALORI!$B$5),0)</f>
        <v>0</v>
      </c>
      <c r="AF52" s="28">
        <f>IF(AF26&gt;0, AF26-(AF$30*VALORI!$B$4)-(AF$31*VALORI!$B$4)-(AF$32*VALORI!$B$3)-(AF$33*VALORI!$B$5),0)</f>
        <v>0</v>
      </c>
      <c r="AG52" s="28">
        <f>IF(AG26&gt;0, AG26-(AG$30*VALORI!$B$4)-(AG$31*VALORI!$B$4)-(AG$32*VALORI!$B$3)-(AG$33*VALORI!$B$5),0)</f>
        <v>0</v>
      </c>
      <c r="AH52" s="28">
        <f>IF(AH26&gt;0, AH26-(AH$30*VALORI!$B$4)-(AH$31*VALORI!$B$4)-(AH$32*VALORI!$B$3)-(AH$33*VALORI!$B$5),0)</f>
        <v>0</v>
      </c>
      <c r="AI52" s="28">
        <f>IF(AI26&gt;0, AI26-(AI$30*VALORI!$B$4)-(AI$31*VALORI!$B$4)-(AI$32*VALORI!$B$3)-(AI$33*VALORI!$B$5),0)</f>
        <v>0</v>
      </c>
      <c r="AJ52" s="28">
        <f>IF(AJ26&gt;0, AJ26-(AJ$30*VALORI!$B$4)-(AJ$31*VALORI!$B$4)-(AJ$32*VALORI!$B$3)-(AJ$33*VALORI!$B$5),0)</f>
        <v>0</v>
      </c>
      <c r="AK52" s="28">
        <f>IF(AK26&gt;0, AK26-(AK$30*VALORI!$B$4)-(AK$31*VALORI!$B$4)-(AK$32*VALORI!$B$3)-(AK$33*VALORI!$B$5),0)</f>
        <v>0</v>
      </c>
      <c r="AL52" s="28">
        <f>IF(AL26&gt;0, AL26-(AL$30*VALORI!$B$4)-(AL$31*VALORI!$B$4)-(AL$32*VALORI!$B$3)-(AL$33*VALORI!$B$5),0)</f>
        <v>0</v>
      </c>
      <c r="AM52" s="28">
        <f>IF(AM26&gt;0, AM26-(AM$30*VALORI!$B$4)-(AM$31*VALORI!$B$4)-(AM$32*VALORI!$B$3)-(AM$33*VALORI!$B$5),0)</f>
        <v>0</v>
      </c>
      <c r="AN52" s="28">
        <f>IF(AN26&gt;0, AN26-(AN$30*VALORI!$B$4)-(AN$31*VALORI!$B$4)-(AN$32*VALORI!$B$3)-(AN$33*VALORI!$B$5),0)</f>
        <v>0</v>
      </c>
      <c r="AO52" s="28">
        <f>IF(AO26&gt;0, AO26-(AO$30*VALORI!$B$4)-(AO$31*VALORI!$B$4)-(AO$32*VALORI!$B$3)-(AO$33*VALORI!$B$5),0)</f>
        <v>0</v>
      </c>
      <c r="AQ52" s="28">
        <f>IF(AQ26&gt;0, AQ26-(AQ$30*VALORI!$B$4)-(AQ$31*VALORI!$B$4)-(AQ$32*VALORI!$B$3)-(AQ$33*VALORI!$B$5),0)</f>
        <v>0</v>
      </c>
      <c r="AR52" s="28">
        <f>IF(AR26&gt;0, AR26-(AR$30*VALORI!$B$4)-(AR$31*VALORI!$B$4)-(AR$32*VALORI!$B$3)-(AR$33*VALORI!$B$5),0)</f>
        <v>0</v>
      </c>
      <c r="AS52" s="28">
        <f>IF(AS26&gt;0, AS26-(AS$30*VALORI!$B$4)-(AS$31*VALORI!$B$4)-(AS$32*VALORI!$B$3)-(AS$33*VALORI!$B$5),0)</f>
        <v>0</v>
      </c>
      <c r="AT52" s="28">
        <f>IF(AT26&gt;0, AT26-(AT$30*VALORI!$B$4)-(AT$31*VALORI!$B$4)-(AT$32*VALORI!$B$3)-(AT$33*VALORI!$B$5),0)</f>
        <v>0</v>
      </c>
    </row>
    <row r="53" spans="23:46" ht="15.75" x14ac:dyDescent="0.25">
      <c r="W53" s="28">
        <f>IF(W27&gt;0, W27-(W$30*VALORI!$B$4)-(W$31*VALORI!$B$4)-(W$32*VALORI!$B$3)-(W$33*VALORI!$B$5),0)</f>
        <v>0</v>
      </c>
      <c r="X53" s="28">
        <f>IF(X27&gt;0, X27-(X$30*VALORI!$B$4)-(X$31*VALORI!$B$4)-(X$32*VALORI!$B$3)-(X$33*VALORI!$B$5),0)</f>
        <v>0</v>
      </c>
      <c r="Y53" s="28">
        <f>IF(Y27&gt;0, Y27-(Y$30*VALORI!$B$4)-(Y$31*VALORI!$B$4)-(Y$32*VALORI!$B$3)-(Y$33*VALORI!$B$5),0)</f>
        <v>0</v>
      </c>
      <c r="Z53" s="28">
        <f>IF(Z27&gt;0, Z27-(Z$30*VALORI!$B$4)-(Z$31*VALORI!$B$4)-(Z$32*VALORI!$B$3)-(Z$33*VALORI!$B$5),0)</f>
        <v>0</v>
      </c>
      <c r="AA53" s="28">
        <f>IF(AA27&gt;0, AA27-(AA$30*VALORI!$B$4)-(AA$31*VALORI!$B$4)-(AA$32*VALORI!$B$3)-(AA$33*VALORI!$B$5),0)</f>
        <v>0</v>
      </c>
      <c r="AB53" s="28">
        <f>IF(AB27&gt;0, AB27-(AB$30*VALORI!$B$4)-(AB$31*VALORI!$B$4)-(AB$32*VALORI!$B$3)-(AB$33*VALORI!$B$5),0)</f>
        <v>0</v>
      </c>
      <c r="AC53" s="28">
        <f>IF(AC27&gt;0, AC27-(AC$30*VALORI!$B$4)-(AC$31*VALORI!$B$4)-(AC$32*VALORI!$B$3)-(AC$33*VALORI!$B$5),0)</f>
        <v>0</v>
      </c>
      <c r="AD53" s="28">
        <f>IF(AD27&gt;0, AD27-(AD$30*VALORI!$B$4)-(AD$31*VALORI!$B$4)-(AD$32*VALORI!$B$3)-(AD$33*VALORI!$B$5),0)</f>
        <v>0</v>
      </c>
      <c r="AE53" s="28">
        <f>IF(AE27&gt;0, AE27-(AE$30*VALORI!$B$4)-(AE$31*VALORI!$B$4)-(AE$32*VALORI!$B$3)-(AE$33*VALORI!$B$5),0)</f>
        <v>0</v>
      </c>
      <c r="AF53" s="28">
        <f>IF(AF27&gt;0, AF27-(AF$30*VALORI!$B$4)-(AF$31*VALORI!$B$4)-(AF$32*VALORI!$B$3)-(AF$33*VALORI!$B$5),0)</f>
        <v>0</v>
      </c>
      <c r="AG53" s="28">
        <f>IF(AG27&gt;0, AG27-(AG$30*VALORI!$B$4)-(AG$31*VALORI!$B$4)-(AG$32*VALORI!$B$3)-(AG$33*VALORI!$B$5),0)</f>
        <v>0</v>
      </c>
      <c r="AH53" s="28">
        <f>IF(AH27&gt;0, AH27-(AH$30*VALORI!$B$4)-(AH$31*VALORI!$B$4)-(AH$32*VALORI!$B$3)-(AH$33*VALORI!$B$5),0)</f>
        <v>0</v>
      </c>
      <c r="AI53" s="28">
        <f>IF(AI27&gt;0, AI27-(AI$30*VALORI!$B$4)-(AI$31*VALORI!$B$4)-(AI$32*VALORI!$B$3)-(AI$33*VALORI!$B$5),0)</f>
        <v>0</v>
      </c>
      <c r="AJ53" s="28">
        <f>IF(AJ27&gt;0, AJ27-(AJ$30*VALORI!$B$4)-(AJ$31*VALORI!$B$4)-(AJ$32*VALORI!$B$3)-(AJ$33*VALORI!$B$5),0)</f>
        <v>0</v>
      </c>
      <c r="AK53" s="28">
        <f>IF(AK27&gt;0, AK27-(AK$30*VALORI!$B$4)-(AK$31*VALORI!$B$4)-(AK$32*VALORI!$B$3)-(AK$33*VALORI!$B$5),0)</f>
        <v>0</v>
      </c>
      <c r="AL53" s="28">
        <f>IF(AL27&gt;0, AL27-(AL$30*VALORI!$B$4)-(AL$31*VALORI!$B$4)-(AL$32*VALORI!$B$3)-(AL$33*VALORI!$B$5),0)</f>
        <v>0</v>
      </c>
      <c r="AM53" s="28">
        <f>IF(AM27&gt;0, AM27-(AM$30*VALORI!$B$4)-(AM$31*VALORI!$B$4)-(AM$32*VALORI!$B$3)-(AM$33*VALORI!$B$5),0)</f>
        <v>0</v>
      </c>
      <c r="AN53" s="28">
        <f>IF(AN27&gt;0, AN27-(AN$30*VALORI!$B$4)-(AN$31*VALORI!$B$4)-(AN$32*VALORI!$B$3)-(AN$33*VALORI!$B$5),0)</f>
        <v>0</v>
      </c>
      <c r="AO53" s="28">
        <f>IF(AO27&gt;0, AO27-(AO$30*VALORI!$B$4)-(AO$31*VALORI!$B$4)-(AO$32*VALORI!$B$3)-(AO$33*VALORI!$B$5),0)</f>
        <v>0</v>
      </c>
      <c r="AQ53" s="28">
        <f>IF(AQ27&gt;0, AQ27-(AQ$30*VALORI!$B$4)-(AQ$31*VALORI!$B$4)-(AQ$32*VALORI!$B$3)-(AQ$33*VALORI!$B$5),0)</f>
        <v>0</v>
      </c>
      <c r="AR53" s="28">
        <f>IF(AR27&gt;0, AR27-(AR$30*VALORI!$B$4)-(AR$31*VALORI!$B$4)-(AR$32*VALORI!$B$3)-(AR$33*VALORI!$B$5),0)</f>
        <v>0</v>
      </c>
      <c r="AS53" s="28">
        <f>IF(AS27&gt;0, AS27-(AS$30*VALORI!$B$4)-(AS$31*VALORI!$B$4)-(AS$32*VALORI!$B$3)-(AS$33*VALORI!$B$5),0)</f>
        <v>0</v>
      </c>
      <c r="AT53" s="28">
        <f>IF(AT27&gt;0, AT27-(AT$30*VALORI!$B$4)-(AT$31*VALORI!$B$4)-(AT$32*VALORI!$B$3)-(AT$33*VALORI!$B$5),0)</f>
        <v>0</v>
      </c>
    </row>
    <row r="54" spans="23:46" ht="15.75" x14ac:dyDescent="0.25">
      <c r="W54" s="28">
        <f>IF(W28&gt;0, W28-(W$30*VALORI!$B$4)-(W$31*VALORI!$B$4)-(W$32*VALORI!$B$3)-(W$33*VALORI!$B$5),0)</f>
        <v>0</v>
      </c>
      <c r="X54" s="28">
        <f>IF(X28&gt;0, X28-(X$30*VALORI!$B$4)-(X$31*VALORI!$B$4)-(X$32*VALORI!$B$3)-(X$33*VALORI!$B$5),0)</f>
        <v>0</v>
      </c>
      <c r="Y54" s="28">
        <f>IF(Y28&gt;0, Y28-(Y$30*VALORI!$B$4)-(Y$31*VALORI!$B$4)-(Y$32*VALORI!$B$3)-(Y$33*VALORI!$B$5),0)</f>
        <v>0</v>
      </c>
      <c r="Z54" s="28">
        <f>IF(Z28&gt;0, Z28-(Z$30*VALORI!$B$4)-(Z$31*VALORI!$B$4)-(Z$32*VALORI!$B$3)-(Z$33*VALORI!$B$5),0)</f>
        <v>0</v>
      </c>
      <c r="AA54" s="28">
        <f>IF(AA28&gt;0, AA28-(AA$30*VALORI!$B$4)-(AA$31*VALORI!$B$4)-(AA$32*VALORI!$B$3)-(AA$33*VALORI!$B$5),0)</f>
        <v>0</v>
      </c>
      <c r="AB54" s="28">
        <f>IF(AB28&gt;0, AB28-(AB$30*VALORI!$B$4)-(AB$31*VALORI!$B$4)-(AB$32*VALORI!$B$3)-(AB$33*VALORI!$B$5),0)</f>
        <v>0</v>
      </c>
      <c r="AC54" s="28">
        <f>IF(AC28&gt;0, AC28-(AC$30*VALORI!$B$4)-(AC$31*VALORI!$B$4)-(AC$32*VALORI!$B$3)-(AC$33*VALORI!$B$5),0)</f>
        <v>0</v>
      </c>
      <c r="AD54" s="28">
        <f>IF(AD28&gt;0, AD28-(AD$30*VALORI!$B$4)-(AD$31*VALORI!$B$4)-(AD$32*VALORI!$B$3)-(AD$33*VALORI!$B$5),0)</f>
        <v>0</v>
      </c>
      <c r="AE54" s="28">
        <f>IF(AE28&gt;0, AE28-(AE$30*VALORI!$B$4)-(AE$31*VALORI!$B$4)-(AE$32*VALORI!$B$3)-(AE$33*VALORI!$B$5),0)</f>
        <v>0</v>
      </c>
      <c r="AF54" s="28">
        <f>IF(AF28&gt;0, AF28-(AF$30*VALORI!$B$4)-(AF$31*VALORI!$B$4)-(AF$32*VALORI!$B$3)-(AF$33*VALORI!$B$5),0)</f>
        <v>0</v>
      </c>
      <c r="AG54" s="28">
        <f>IF(AG28&gt;0, AG28-(AG$30*VALORI!$B$4)-(AG$31*VALORI!$B$4)-(AG$32*VALORI!$B$3)-(AG$33*VALORI!$B$5),0)</f>
        <v>0</v>
      </c>
      <c r="AH54" s="28">
        <f>IF(AH28&gt;0, AH28-(AH$30*VALORI!$B$4)-(AH$31*VALORI!$B$4)-(AH$32*VALORI!$B$3)-(AH$33*VALORI!$B$5),0)</f>
        <v>0</v>
      </c>
      <c r="AI54" s="28">
        <f>IF(AI28&gt;0, AI28-(AI$30*VALORI!$B$4)-(AI$31*VALORI!$B$4)-(AI$32*VALORI!$B$3)-(AI$33*VALORI!$B$5),0)</f>
        <v>0</v>
      </c>
      <c r="AJ54" s="28">
        <f>IF(AJ28&gt;0, AJ28-(AJ$30*VALORI!$B$4)-(AJ$31*VALORI!$B$4)-(AJ$32*VALORI!$B$3)-(AJ$33*VALORI!$B$5),0)</f>
        <v>0</v>
      </c>
      <c r="AK54" s="28">
        <f>IF(AK28&gt;0, AK28-(AK$30*VALORI!$B$4)-(AK$31*VALORI!$B$4)-(AK$32*VALORI!$B$3)-(AK$33*VALORI!$B$5),0)</f>
        <v>0</v>
      </c>
      <c r="AL54" s="28">
        <f>IF(AL28&gt;0, AL28-(AL$30*VALORI!$B$4)-(AL$31*VALORI!$B$4)-(AL$32*VALORI!$B$3)-(AL$33*VALORI!$B$5),0)</f>
        <v>0</v>
      </c>
      <c r="AM54" s="28">
        <f>IF(AM28&gt;0, AM28-(AM$30*VALORI!$B$4)-(AM$31*VALORI!$B$4)-(AM$32*VALORI!$B$3)-(AM$33*VALORI!$B$5),0)</f>
        <v>0</v>
      </c>
      <c r="AN54" s="28">
        <f>IF(AN28&gt;0, AN28-(AN$30*VALORI!$B$4)-(AN$31*VALORI!$B$4)-(AN$32*VALORI!$B$3)-(AN$33*VALORI!$B$5),0)</f>
        <v>0</v>
      </c>
      <c r="AO54" s="28">
        <f>IF(AO28&gt;0, AO28-(AO$30*VALORI!$B$4)-(AO$31*VALORI!$B$4)-(AO$32*VALORI!$B$3)-(AO$33*VALORI!$B$5),0)</f>
        <v>0</v>
      </c>
      <c r="AQ54" s="28">
        <f>IF(AQ28&gt;0, AQ28-(AQ$30*VALORI!$B$4)-(AQ$31*VALORI!$B$4)-(AQ$32*VALORI!$B$3)-(AQ$33*VALORI!$B$5),0)</f>
        <v>0</v>
      </c>
      <c r="AR54" s="28">
        <f>IF(AR28&gt;0, AR28-(AR$30*VALORI!$B$4)-(AR$31*VALORI!$B$4)-(AR$32*VALORI!$B$3)-(AR$33*VALORI!$B$5),0)</f>
        <v>0</v>
      </c>
      <c r="AS54" s="28">
        <f>IF(AS28&gt;0, AS28-(AS$30*VALORI!$B$4)-(AS$31*VALORI!$B$4)-(AS$32*VALORI!$B$3)-(AS$33*VALORI!$B$5),0)</f>
        <v>0</v>
      </c>
      <c r="AT54" s="28">
        <f>IF(AT28&gt;0, AT28-(AT$30*VALORI!$B$4)-(AT$31*VALORI!$B$4)-(AT$32*VALORI!$B$3)-(AT$33*VALORI!$B$5),0)</f>
        <v>0</v>
      </c>
    </row>
    <row r="57" spans="23:46" ht="72.75" x14ac:dyDescent="0.25">
      <c r="W57" s="94" t="s">
        <v>340</v>
      </c>
      <c r="X57" s="94" t="s">
        <v>340</v>
      </c>
      <c r="Y57" s="94" t="s">
        <v>340</v>
      </c>
      <c r="Z57" s="94" t="s">
        <v>340</v>
      </c>
      <c r="AA57" s="94" t="s">
        <v>340</v>
      </c>
      <c r="AB57" s="94" t="s">
        <v>340</v>
      </c>
      <c r="AC57" s="94" t="s">
        <v>340</v>
      </c>
      <c r="AD57" s="94" t="s">
        <v>340</v>
      </c>
      <c r="AE57" s="94" t="s">
        <v>340</v>
      </c>
      <c r="AF57" s="94" t="s">
        <v>340</v>
      </c>
      <c r="AG57" s="94" t="s">
        <v>340</v>
      </c>
      <c r="AH57" s="94" t="s">
        <v>340</v>
      </c>
      <c r="AI57" s="94" t="s">
        <v>340</v>
      </c>
      <c r="AJ57" s="94" t="s">
        <v>340</v>
      </c>
      <c r="AK57" s="94" t="s">
        <v>340</v>
      </c>
      <c r="AL57" s="94" t="s">
        <v>340</v>
      </c>
      <c r="AM57" s="94" t="s">
        <v>340</v>
      </c>
      <c r="AN57" s="94" t="s">
        <v>340</v>
      </c>
      <c r="AO57" s="94" t="s">
        <v>340</v>
      </c>
      <c r="AQ57" s="94" t="s">
        <v>340</v>
      </c>
      <c r="AR57" s="94" t="s">
        <v>340</v>
      </c>
      <c r="AS57" s="94" t="s">
        <v>340</v>
      </c>
      <c r="AT57" s="94" t="s">
        <v>340</v>
      </c>
    </row>
    <row r="58" spans="23:46" ht="15.75" x14ac:dyDescent="0.25">
      <c r="W58" s="28">
        <f>IF(W3&gt;0, (W$30*VALORI!$B$4)+(W$31*VALORI!$B$4)+(W$32*VALORI!$B$3)+(W$33*VALORI!$B$5),0)</f>
        <v>1240</v>
      </c>
      <c r="X58" s="28">
        <f>IF(X3&gt;0, (X$30*VALORI!$B$4)+(X$31*VALORI!$B$4)+(X$32*VALORI!$B$3)+(X$33*VALORI!$B$5),0)</f>
        <v>3720</v>
      </c>
      <c r="Y58" s="28">
        <f>IF(Y3&gt;0, (Y$30*VALORI!$B$4)+(Y$31*VALORI!$B$4)+(Y$32*VALORI!$B$3)+(Y$33*VALORI!$B$5),0)</f>
        <v>992</v>
      </c>
      <c r="Z58" s="28">
        <f>IF(Z3&gt;0, (Z$30*VALORI!$B$4)+(Z$31*VALORI!$B$4)+(Z$32*VALORI!$B$3)+(Z$33*VALORI!$B$5),0)</f>
        <v>992</v>
      </c>
      <c r="AA58" s="28">
        <f>IF(AA3&gt;0, (AA$30*VALORI!$B$4)+(AA$31*VALORI!$B$4)+(AA$32*VALORI!$B$3)+(AA$33*VALORI!$B$5),0)</f>
        <v>876</v>
      </c>
      <c r="AB58" s="28">
        <f>IF(AB3&gt;0, (AB$30*VALORI!$B$4)+(AB$31*VALORI!$B$4)+(AB$32*VALORI!$B$3)+(AB$33*VALORI!$B$5),0)</f>
        <v>103</v>
      </c>
      <c r="AC58" s="28">
        <f>IF(AC3&gt;0, (AC$30*VALORI!$B$4)+(AC$31*VALORI!$B$4)+(AC$32*VALORI!$B$3)+(AC$33*VALORI!$B$5),0)</f>
        <v>794</v>
      </c>
      <c r="AD58" s="28">
        <f>IF(AD3&gt;0, (AD$30*VALORI!$B$4)+(AD$31*VALORI!$B$4)+(AD$32*VALORI!$B$3)+(AD$33*VALORI!$B$5),0)</f>
        <v>2354</v>
      </c>
      <c r="AE58" s="28">
        <f>IF(AE3&gt;0, (AE$30*VALORI!$B$4)+(AE$31*VALORI!$B$4)+(AE$32*VALORI!$B$3)+(AE$33*VALORI!$B$5),0)</f>
        <v>1268</v>
      </c>
      <c r="AF58" s="28">
        <f>IF(AF3&gt;0, (AF$30*VALORI!$B$4)+(AF$31*VALORI!$B$4)+(AF$32*VALORI!$B$3)+(AF$33*VALORI!$B$5),0)</f>
        <v>1123</v>
      </c>
      <c r="AG58" s="28">
        <f>IF(AG3&gt;0, (AG$30*VALORI!$B$4)+(AG$31*VALORI!$B$4)+(AG$32*VALORI!$B$3)+(AG$33*VALORI!$B$5),0)</f>
        <v>1123</v>
      </c>
      <c r="AH58" s="28">
        <f>IF(AH3&gt;0, (AH$30*VALORI!$B$4)+(AH$31*VALORI!$B$4)+(AH$32*VALORI!$B$3)+(AH$33*VALORI!$B$5),0)</f>
        <v>148</v>
      </c>
      <c r="AI58" s="28">
        <f>IF(AI3&gt;0, (AI$30*VALORI!$B$4)+(AI$31*VALORI!$B$4)+(AI$32*VALORI!$B$3)+(AI$33*VALORI!$B$5),0)</f>
        <v>1600</v>
      </c>
      <c r="AJ58" s="28">
        <f>IF(AJ3&gt;0, (AJ$30*VALORI!$B$4)+(AJ$31*VALORI!$B$4)+(AJ$32*VALORI!$B$3)+(AJ$33*VALORI!$B$5),0)</f>
        <v>0</v>
      </c>
      <c r="AK58" s="28">
        <f>IF(AK3&gt;0, (AK$30*VALORI!$B$4)+(AK$31*VALORI!$B$4)+(AK$32*VALORI!$B$3)+(AK$33*VALORI!$B$5),0)</f>
        <v>0</v>
      </c>
      <c r="AL58" s="28">
        <f>IF(AL3&gt;0, (AL$30*VALORI!$B$4)+(AL$31*VALORI!$B$4)+(AL$32*VALORI!$B$3)+(AL$33*VALORI!$B$5),0)</f>
        <v>6340</v>
      </c>
      <c r="AM58" s="28">
        <f>IF(AM3&gt;0, (AM$30*VALORI!$B$4)+(AM$31*VALORI!$B$4)+(AM$32*VALORI!$B$3)+(AM$33*VALORI!$B$5),0)</f>
        <v>642</v>
      </c>
      <c r="AN58" s="28">
        <f>IF(AN3&gt;0, (AN$30*VALORI!$B$4)+(AN$31*VALORI!$B$4)+(AN$32*VALORI!$B$3)+(AN$33*VALORI!$B$5),0)</f>
        <v>0</v>
      </c>
      <c r="AO58" s="28">
        <f>IF(AO3&gt;0, (AO$30*VALORI!$B$4)+(AO$31*VALORI!$B$4)+(AO$32*VALORI!$B$3)+(AO$33*VALORI!$B$5),0)</f>
        <v>0</v>
      </c>
      <c r="AQ58" s="28">
        <f>IF(AQ3&gt;0, (AQ$30*VALORI!$B$4)+(AQ$31*VALORI!$B$4)+(AQ$32*VALORI!$B$3)+(AQ$33*VALORI!$B$5),0)</f>
        <v>0</v>
      </c>
      <c r="AR58" s="28">
        <f>IF(AR3&gt;0, (AR$30*VALORI!$B$4)+(AR$31*VALORI!$B$4)+(AR$32*VALORI!$B$3)+(AR$33*VALORI!$B$5),0)</f>
        <v>0</v>
      </c>
      <c r="AS58" s="28">
        <f>IF(AS3&gt;0, (AS$30*VALORI!$B$4)+(AS$31*VALORI!$B$4)+(AS$32*VALORI!$B$3)+(AS$33*VALORI!$B$5),0)</f>
        <v>0</v>
      </c>
      <c r="AT58" s="28">
        <f>IF(AT3&gt;0, (AT$30*VALORI!$B$4)+(AT$31*VALORI!$B$4)+(AT$32*VALORI!$B$3)+(AT$33*VALORI!$B$5),0)</f>
        <v>0</v>
      </c>
    </row>
    <row r="59" spans="23:46" ht="15.75" x14ac:dyDescent="0.25">
      <c r="W59" s="28">
        <f>IF(W4&gt;0, (W$30*VALORI!$B$4)+(W$31*VALORI!$B$4)+(W$32*VALORI!$B$3)+(W$33*VALORI!$B$5),0)</f>
        <v>1240</v>
      </c>
      <c r="X59" s="28">
        <f>IF(X4&gt;0, (X$30*VALORI!$B$4)+(X$31*VALORI!$B$4)+(X$32*VALORI!$B$3)+(X$33*VALORI!$B$5),0)</f>
        <v>3720</v>
      </c>
      <c r="Y59" s="28">
        <f>IF(Y4&gt;0, (Y$30*VALORI!$B$4)+(Y$31*VALORI!$B$4)+(Y$32*VALORI!$B$3)+(Y$33*VALORI!$B$5),0)</f>
        <v>992</v>
      </c>
      <c r="Z59" s="28">
        <f>IF(Z4&gt;0, (Z$30*VALORI!$B$4)+(Z$31*VALORI!$B$4)+(Z$32*VALORI!$B$3)+(Z$33*VALORI!$B$5),0)</f>
        <v>992</v>
      </c>
      <c r="AA59" s="28">
        <f>IF(AA4&gt;0, (AA$30*VALORI!$B$4)+(AA$31*VALORI!$B$4)+(AA$32*VALORI!$B$3)+(AA$33*VALORI!$B$5),0)</f>
        <v>876</v>
      </c>
      <c r="AB59" s="28">
        <f>IF(AB4&gt;0, (AB$30*VALORI!$B$4)+(AB$31*VALORI!$B$4)+(AB$32*VALORI!$B$3)+(AB$33*VALORI!$B$5),0)</f>
        <v>103</v>
      </c>
      <c r="AC59" s="28">
        <f>IF(AC4&gt;0, (AC$30*VALORI!$B$4)+(AC$31*VALORI!$B$4)+(AC$32*VALORI!$B$3)+(AC$33*VALORI!$B$5),0)</f>
        <v>794</v>
      </c>
      <c r="AD59" s="28">
        <f>IF(AD4&gt;0, (AD$30*VALORI!$B$4)+(AD$31*VALORI!$B$4)+(AD$32*VALORI!$B$3)+(AD$33*VALORI!$B$5),0)</f>
        <v>2354</v>
      </c>
      <c r="AE59" s="28">
        <f>IF(AE4&gt;0, (AE$30*VALORI!$B$4)+(AE$31*VALORI!$B$4)+(AE$32*VALORI!$B$3)+(AE$33*VALORI!$B$5),0)</f>
        <v>1268</v>
      </c>
      <c r="AF59" s="28">
        <f>IF(AF4&gt;0, (AF$30*VALORI!$B$4)+(AF$31*VALORI!$B$4)+(AF$32*VALORI!$B$3)+(AF$33*VALORI!$B$5),0)</f>
        <v>1123</v>
      </c>
      <c r="AG59" s="28">
        <f>IF(AG4&gt;0, (AG$30*VALORI!$B$4)+(AG$31*VALORI!$B$4)+(AG$32*VALORI!$B$3)+(AG$33*VALORI!$B$5),0)</f>
        <v>1123</v>
      </c>
      <c r="AH59" s="28">
        <f>IF(AH4&gt;0, (AH$30*VALORI!$B$4)+(AH$31*VALORI!$B$4)+(AH$32*VALORI!$B$3)+(AH$33*VALORI!$B$5),0)</f>
        <v>148</v>
      </c>
      <c r="AI59" s="28">
        <f>IF(AI4&gt;0, (AI$30*VALORI!$B$4)+(AI$31*VALORI!$B$4)+(AI$32*VALORI!$B$3)+(AI$33*VALORI!$B$5),0)</f>
        <v>1600</v>
      </c>
      <c r="AJ59" s="28">
        <f>IF(AJ4&gt;0, (AJ$30*VALORI!$B$4)+(AJ$31*VALORI!$B$4)+(AJ$32*VALORI!$B$3)+(AJ$33*VALORI!$B$5),0)</f>
        <v>0</v>
      </c>
      <c r="AK59" s="28">
        <f>IF(AK4&gt;0, (AK$30*VALORI!$B$4)+(AK$31*VALORI!$B$4)+(AK$32*VALORI!$B$3)+(AK$33*VALORI!$B$5),0)</f>
        <v>0</v>
      </c>
      <c r="AL59" s="28">
        <f>IF(AL4&gt;0, (AL$30*VALORI!$B$4)+(AL$31*VALORI!$B$4)+(AL$32*VALORI!$B$3)+(AL$33*VALORI!$B$5),0)</f>
        <v>6340</v>
      </c>
      <c r="AM59" s="28">
        <f>IF(AM4&gt;0, (AM$30*VALORI!$B$4)+(AM$31*VALORI!$B$4)+(AM$32*VALORI!$B$3)+(AM$33*VALORI!$B$5),0)</f>
        <v>642</v>
      </c>
      <c r="AN59" s="28">
        <f>IF(AN4&gt;0, (AN$30*VALORI!$B$4)+(AN$31*VALORI!$B$4)+(AN$32*VALORI!$B$3)+(AN$33*VALORI!$B$5),0)</f>
        <v>0</v>
      </c>
      <c r="AO59" s="28">
        <f>IF(AO4&gt;0, (AO$30*VALORI!$B$4)+(AO$31*VALORI!$B$4)+(AO$32*VALORI!$B$3)+(AO$33*VALORI!$B$5),0)</f>
        <v>0</v>
      </c>
      <c r="AQ59" s="28">
        <f>IF(AQ4&gt;0, (AQ$30*VALORI!$B$4)+(AQ$31*VALORI!$B$4)+(AQ$32*VALORI!$B$3)+(AQ$33*VALORI!$B$5),0)</f>
        <v>0</v>
      </c>
      <c r="AR59" s="28">
        <f>IF(AR4&gt;0, (AR$30*VALORI!$B$4)+(AR$31*VALORI!$B$4)+(AR$32*VALORI!$B$3)+(AR$33*VALORI!$B$5),0)</f>
        <v>0</v>
      </c>
      <c r="AS59" s="28">
        <f>IF(AS4&gt;0, (AS$30*VALORI!$B$4)+(AS$31*VALORI!$B$4)+(AS$32*VALORI!$B$3)+(AS$33*VALORI!$B$5),0)</f>
        <v>0</v>
      </c>
      <c r="AT59" s="28">
        <f>IF(AT4&gt;0, (AT$30*VALORI!$B$4)+(AT$31*VALORI!$B$4)+(AT$32*VALORI!$B$3)+(AT$33*VALORI!$B$5),0)</f>
        <v>0</v>
      </c>
    </row>
    <row r="60" spans="23:46" ht="15.75" x14ac:dyDescent="0.25">
      <c r="W60" s="28">
        <f>IF(W5&gt;0, (W$30*VALORI!$B$4)+(W$31*VALORI!$B$4)+(W$32*VALORI!$B$3)+(W$33*VALORI!$B$5),0)</f>
        <v>1240</v>
      </c>
      <c r="X60" s="28">
        <f>IF(X5&gt;0, (X$30*VALORI!$B$4)+(X$31*VALORI!$B$4)+(X$32*VALORI!$B$3)+(X$33*VALORI!$B$5),0)</f>
        <v>3720</v>
      </c>
      <c r="Y60" s="28">
        <f>IF(Y5&gt;0, (Y$30*VALORI!$B$4)+(Y$31*VALORI!$B$4)+(Y$32*VALORI!$B$3)+(Y$33*VALORI!$B$5),0)</f>
        <v>992</v>
      </c>
      <c r="Z60" s="28">
        <f>IF(Z5&gt;0, (Z$30*VALORI!$B$4)+(Z$31*VALORI!$B$4)+(Z$32*VALORI!$B$3)+(Z$33*VALORI!$B$5),0)</f>
        <v>992</v>
      </c>
      <c r="AA60" s="28">
        <f>IF(AA5&gt;0, (AA$30*VALORI!$B$4)+(AA$31*VALORI!$B$4)+(AA$32*VALORI!$B$3)+(AA$33*VALORI!$B$5),0)</f>
        <v>876</v>
      </c>
      <c r="AB60" s="28">
        <f>IF(AB5&gt;0, (AB$30*VALORI!$B$4)+(AB$31*VALORI!$B$4)+(AB$32*VALORI!$B$3)+(AB$33*VALORI!$B$5),0)</f>
        <v>103</v>
      </c>
      <c r="AC60" s="28">
        <f>IF(AC5&gt;0, (AC$30*VALORI!$B$4)+(AC$31*VALORI!$B$4)+(AC$32*VALORI!$B$3)+(AC$33*VALORI!$B$5),0)</f>
        <v>794</v>
      </c>
      <c r="AD60" s="28">
        <f>IF(AD5&gt;0, (AD$30*VALORI!$B$4)+(AD$31*VALORI!$B$4)+(AD$32*VALORI!$B$3)+(AD$33*VALORI!$B$5),0)</f>
        <v>2354</v>
      </c>
      <c r="AE60" s="28">
        <f>IF(AE5&gt;0, (AE$30*VALORI!$B$4)+(AE$31*VALORI!$B$4)+(AE$32*VALORI!$B$3)+(AE$33*VALORI!$B$5),0)</f>
        <v>1268</v>
      </c>
      <c r="AF60" s="28">
        <f>IF(AF5&gt;0, (AF$30*VALORI!$B$4)+(AF$31*VALORI!$B$4)+(AF$32*VALORI!$B$3)+(AF$33*VALORI!$B$5),0)</f>
        <v>1123</v>
      </c>
      <c r="AG60" s="28">
        <f>IF(AG5&gt;0, (AG$30*VALORI!$B$4)+(AG$31*VALORI!$B$4)+(AG$32*VALORI!$B$3)+(AG$33*VALORI!$B$5),0)</f>
        <v>1123</v>
      </c>
      <c r="AH60" s="28">
        <f>IF(AH5&gt;0, (AH$30*VALORI!$B$4)+(AH$31*VALORI!$B$4)+(AH$32*VALORI!$B$3)+(AH$33*VALORI!$B$5),0)</f>
        <v>148</v>
      </c>
      <c r="AI60" s="28">
        <f>IF(AI5&gt;0, (AI$30*VALORI!$B$4)+(AI$31*VALORI!$B$4)+(AI$32*VALORI!$B$3)+(AI$33*VALORI!$B$5),0)</f>
        <v>1600</v>
      </c>
      <c r="AJ60" s="28">
        <f>IF(AJ5&gt;0, (AJ$30*VALORI!$B$4)+(AJ$31*VALORI!$B$4)+(AJ$32*VALORI!$B$3)+(AJ$33*VALORI!$B$5),0)</f>
        <v>0</v>
      </c>
      <c r="AK60" s="28">
        <f>IF(AK5&gt;0, (AK$30*VALORI!$B$4)+(AK$31*VALORI!$B$4)+(AK$32*VALORI!$B$3)+(AK$33*VALORI!$B$5),0)</f>
        <v>0</v>
      </c>
      <c r="AL60" s="28">
        <f>IF(AL5&gt;0, (AL$30*VALORI!$B$4)+(AL$31*VALORI!$B$4)+(AL$32*VALORI!$B$3)+(AL$33*VALORI!$B$5),0)</f>
        <v>6340</v>
      </c>
      <c r="AM60" s="28">
        <f>IF(AM5&gt;0, (AM$30*VALORI!$B$4)+(AM$31*VALORI!$B$4)+(AM$32*VALORI!$B$3)+(AM$33*VALORI!$B$5),0)</f>
        <v>642</v>
      </c>
      <c r="AN60" s="28">
        <f>IF(AN5&gt;0, (AN$30*VALORI!$B$4)+(AN$31*VALORI!$B$4)+(AN$32*VALORI!$B$3)+(AN$33*VALORI!$B$5),0)</f>
        <v>0</v>
      </c>
      <c r="AO60" s="28">
        <f>IF(AO5&gt;0, (AO$30*VALORI!$B$4)+(AO$31*VALORI!$B$4)+(AO$32*VALORI!$B$3)+(AO$33*VALORI!$B$5),0)</f>
        <v>0</v>
      </c>
      <c r="AQ60" s="28">
        <f>IF(AQ5&gt;0, (AQ$30*VALORI!$B$4)+(AQ$31*VALORI!$B$4)+(AQ$32*VALORI!$B$3)+(AQ$33*VALORI!$B$5),0)</f>
        <v>0</v>
      </c>
      <c r="AR60" s="28">
        <f>IF(AR5&gt;0, (AR$30*VALORI!$B$4)+(AR$31*VALORI!$B$4)+(AR$32*VALORI!$B$3)+(AR$33*VALORI!$B$5),0)</f>
        <v>0</v>
      </c>
      <c r="AS60" s="28">
        <f>IF(AS5&gt;0, (AS$30*VALORI!$B$4)+(AS$31*VALORI!$B$4)+(AS$32*VALORI!$B$3)+(AS$33*VALORI!$B$5),0)</f>
        <v>0</v>
      </c>
      <c r="AT60" s="28">
        <f>IF(AT5&gt;0, (AT$30*VALORI!$B$4)+(AT$31*VALORI!$B$4)+(AT$32*VALORI!$B$3)+(AT$33*VALORI!$B$5),0)</f>
        <v>0</v>
      </c>
    </row>
    <row r="61" spans="23:46" ht="15.75" x14ac:dyDescent="0.25">
      <c r="W61" s="28">
        <f>IF(W6&gt;0, (W$30*VALORI!$B$4)+(W$31*VALORI!$B$4)+(W$32*VALORI!$B$3)+(W$33*VALORI!$B$5),0)</f>
        <v>1240</v>
      </c>
      <c r="X61" s="28">
        <f>IF(X6&gt;0, (X$30*VALORI!$B$4)+(X$31*VALORI!$B$4)+(X$32*VALORI!$B$3)+(X$33*VALORI!$B$5),0)</f>
        <v>3720</v>
      </c>
      <c r="Y61" s="28">
        <f>IF(Y6&gt;0, (Y$30*VALORI!$B$4)+(Y$31*VALORI!$B$4)+(Y$32*VALORI!$B$3)+(Y$33*VALORI!$B$5),0)</f>
        <v>992</v>
      </c>
      <c r="Z61" s="28">
        <f>IF(Z6&gt;0, (Z$30*VALORI!$B$4)+(Z$31*VALORI!$B$4)+(Z$32*VALORI!$B$3)+(Z$33*VALORI!$B$5),0)</f>
        <v>992</v>
      </c>
      <c r="AA61" s="28">
        <f>IF(AA6&gt;0, (AA$30*VALORI!$B$4)+(AA$31*VALORI!$B$4)+(AA$32*VALORI!$B$3)+(AA$33*VALORI!$B$5),0)</f>
        <v>876</v>
      </c>
      <c r="AB61" s="28">
        <f>IF(AB6&gt;0, (AB$30*VALORI!$B$4)+(AB$31*VALORI!$B$4)+(AB$32*VALORI!$B$3)+(AB$33*VALORI!$B$5),0)</f>
        <v>103</v>
      </c>
      <c r="AC61" s="28">
        <f>IF(AC6&gt;0, (AC$30*VALORI!$B$4)+(AC$31*VALORI!$B$4)+(AC$32*VALORI!$B$3)+(AC$33*VALORI!$B$5),0)</f>
        <v>794</v>
      </c>
      <c r="AD61" s="28">
        <f>IF(AD6&gt;0, (AD$30*VALORI!$B$4)+(AD$31*VALORI!$B$4)+(AD$32*VALORI!$B$3)+(AD$33*VALORI!$B$5),0)</f>
        <v>2354</v>
      </c>
      <c r="AE61" s="28">
        <f>IF(AE6&gt;0, (AE$30*VALORI!$B$4)+(AE$31*VALORI!$B$4)+(AE$32*VALORI!$B$3)+(AE$33*VALORI!$B$5),0)</f>
        <v>1268</v>
      </c>
      <c r="AF61" s="28">
        <f>IF(AF6&gt;0, (AF$30*VALORI!$B$4)+(AF$31*VALORI!$B$4)+(AF$32*VALORI!$B$3)+(AF$33*VALORI!$B$5),0)</f>
        <v>1123</v>
      </c>
      <c r="AG61" s="28">
        <f>IF(AG6&gt;0, (AG$30*VALORI!$B$4)+(AG$31*VALORI!$B$4)+(AG$32*VALORI!$B$3)+(AG$33*VALORI!$B$5),0)</f>
        <v>1123</v>
      </c>
      <c r="AH61" s="28">
        <f>IF(AH6&gt;0, (AH$30*VALORI!$B$4)+(AH$31*VALORI!$B$4)+(AH$32*VALORI!$B$3)+(AH$33*VALORI!$B$5),0)</f>
        <v>148</v>
      </c>
      <c r="AI61" s="28">
        <f>IF(AI6&gt;0, (AI$30*VALORI!$B$4)+(AI$31*VALORI!$B$4)+(AI$32*VALORI!$B$3)+(AI$33*VALORI!$B$5),0)</f>
        <v>1600</v>
      </c>
      <c r="AJ61" s="28">
        <f>IF(AJ6&gt;0, (AJ$30*VALORI!$B$4)+(AJ$31*VALORI!$B$4)+(AJ$32*VALORI!$B$3)+(AJ$33*VALORI!$B$5),0)</f>
        <v>0</v>
      </c>
      <c r="AK61" s="28">
        <f>IF(AK6&gt;0, (AK$30*VALORI!$B$4)+(AK$31*VALORI!$B$4)+(AK$32*VALORI!$B$3)+(AK$33*VALORI!$B$5),0)</f>
        <v>0</v>
      </c>
      <c r="AL61" s="28">
        <f>IF(AL6&gt;0, (AL$30*VALORI!$B$4)+(AL$31*VALORI!$B$4)+(AL$32*VALORI!$B$3)+(AL$33*VALORI!$B$5),0)</f>
        <v>6340</v>
      </c>
      <c r="AM61" s="28">
        <f>IF(AM6&gt;0, (AM$30*VALORI!$B$4)+(AM$31*VALORI!$B$4)+(AM$32*VALORI!$B$3)+(AM$33*VALORI!$B$5),0)</f>
        <v>642</v>
      </c>
      <c r="AN61" s="28">
        <f>IF(AN6&gt;0, (AN$30*VALORI!$B$4)+(AN$31*VALORI!$B$4)+(AN$32*VALORI!$B$3)+(AN$33*VALORI!$B$5),0)</f>
        <v>0</v>
      </c>
      <c r="AO61" s="28">
        <f>IF(AO6&gt;0, (AO$30*VALORI!$B$4)+(AO$31*VALORI!$B$4)+(AO$32*VALORI!$B$3)+(AO$33*VALORI!$B$5),0)</f>
        <v>0</v>
      </c>
      <c r="AQ61" s="28">
        <f>IF(AQ6&gt;0, (AQ$30*VALORI!$B$4)+(AQ$31*VALORI!$B$4)+(AQ$32*VALORI!$B$3)+(AQ$33*VALORI!$B$5),0)</f>
        <v>0</v>
      </c>
      <c r="AR61" s="28">
        <f>IF(AR6&gt;0, (AR$30*VALORI!$B$4)+(AR$31*VALORI!$B$4)+(AR$32*VALORI!$B$3)+(AR$33*VALORI!$B$5),0)</f>
        <v>0</v>
      </c>
      <c r="AS61" s="28">
        <f>IF(AS6&gt;0, (AS$30*VALORI!$B$4)+(AS$31*VALORI!$B$4)+(AS$32*VALORI!$B$3)+(AS$33*VALORI!$B$5),0)</f>
        <v>0</v>
      </c>
      <c r="AT61" s="28">
        <f>IF(AT6&gt;0, (AT$30*VALORI!$B$4)+(AT$31*VALORI!$B$4)+(AT$32*VALORI!$B$3)+(AT$33*VALORI!$B$5),0)</f>
        <v>0</v>
      </c>
    </row>
    <row r="62" spans="23:46" ht="15.75" x14ac:dyDescent="0.25">
      <c r="W62" s="28">
        <f>IF(W7&gt;0, (W$30*VALORI!$B$4)+(W$31*VALORI!$B$4)+(W$32*VALORI!$B$3)+(W$33*VALORI!$B$5),0)</f>
        <v>1240</v>
      </c>
      <c r="X62" s="28">
        <f>IF(X7&gt;0, (X$30*VALORI!$B$4)+(X$31*VALORI!$B$4)+(X$32*VALORI!$B$3)+(X$33*VALORI!$B$5),0)</f>
        <v>3720</v>
      </c>
      <c r="Y62" s="28">
        <f>IF(Y7&gt;0, (Y$30*VALORI!$B$4)+(Y$31*VALORI!$B$4)+(Y$32*VALORI!$B$3)+(Y$33*VALORI!$B$5),0)</f>
        <v>992</v>
      </c>
      <c r="Z62" s="28">
        <f>IF(Z7&gt;0, (Z$30*VALORI!$B$4)+(Z$31*VALORI!$B$4)+(Z$32*VALORI!$B$3)+(Z$33*VALORI!$B$5),0)</f>
        <v>992</v>
      </c>
      <c r="AA62" s="28">
        <f>IF(AA7&gt;0, (AA$30*VALORI!$B$4)+(AA$31*VALORI!$B$4)+(AA$32*VALORI!$B$3)+(AA$33*VALORI!$B$5),0)</f>
        <v>876</v>
      </c>
      <c r="AB62" s="28">
        <f>IF(AB7&gt;0, (AB$30*VALORI!$B$4)+(AB$31*VALORI!$B$4)+(AB$32*VALORI!$B$3)+(AB$33*VALORI!$B$5),0)</f>
        <v>103</v>
      </c>
      <c r="AC62" s="28">
        <f>IF(AC7&gt;0, (AC$30*VALORI!$B$4)+(AC$31*VALORI!$B$4)+(AC$32*VALORI!$B$3)+(AC$33*VALORI!$B$5),0)</f>
        <v>794</v>
      </c>
      <c r="AD62" s="28">
        <f>IF(AD7&gt;0, (AD$30*VALORI!$B$4)+(AD$31*VALORI!$B$4)+(AD$32*VALORI!$B$3)+(AD$33*VALORI!$B$5),0)</f>
        <v>2354</v>
      </c>
      <c r="AE62" s="28">
        <f>IF(AE7&gt;0, (AE$30*VALORI!$B$4)+(AE$31*VALORI!$B$4)+(AE$32*VALORI!$B$3)+(AE$33*VALORI!$B$5),0)</f>
        <v>1268</v>
      </c>
      <c r="AF62" s="28">
        <f>IF(AF7&gt;0, (AF$30*VALORI!$B$4)+(AF$31*VALORI!$B$4)+(AF$32*VALORI!$B$3)+(AF$33*VALORI!$B$5),0)</f>
        <v>1123</v>
      </c>
      <c r="AG62" s="28">
        <f>IF(AG7&gt;0, (AG$30*VALORI!$B$4)+(AG$31*VALORI!$B$4)+(AG$32*VALORI!$B$3)+(AG$33*VALORI!$B$5),0)</f>
        <v>1123</v>
      </c>
      <c r="AH62" s="28">
        <f>IF(AH7&gt;0, (AH$30*VALORI!$B$4)+(AH$31*VALORI!$B$4)+(AH$32*VALORI!$B$3)+(AH$33*VALORI!$B$5),0)</f>
        <v>148</v>
      </c>
      <c r="AI62" s="28">
        <f>IF(AI7&gt;0, (AI$30*VALORI!$B$4)+(AI$31*VALORI!$B$4)+(AI$32*VALORI!$B$3)+(AI$33*VALORI!$B$5),0)</f>
        <v>1600</v>
      </c>
      <c r="AJ62" s="28">
        <f>IF(AJ7&gt;0, (AJ$30*VALORI!$B$4)+(AJ$31*VALORI!$B$4)+(AJ$32*VALORI!$B$3)+(AJ$33*VALORI!$B$5),0)</f>
        <v>0</v>
      </c>
      <c r="AK62" s="28">
        <f>IF(AK7&gt;0, (AK$30*VALORI!$B$4)+(AK$31*VALORI!$B$4)+(AK$32*VALORI!$B$3)+(AK$33*VALORI!$B$5),0)</f>
        <v>0</v>
      </c>
      <c r="AL62" s="28">
        <f>IF(AL7&gt;0, (AL$30*VALORI!$B$4)+(AL$31*VALORI!$B$4)+(AL$32*VALORI!$B$3)+(AL$33*VALORI!$B$5),0)</f>
        <v>6340</v>
      </c>
      <c r="AM62" s="28">
        <f>IF(AM7&gt;0, (AM$30*VALORI!$B$4)+(AM$31*VALORI!$B$4)+(AM$32*VALORI!$B$3)+(AM$33*VALORI!$B$5),0)</f>
        <v>642</v>
      </c>
      <c r="AN62" s="28">
        <f>IF(AN7&gt;0, (AN$30*VALORI!$B$4)+(AN$31*VALORI!$B$4)+(AN$32*VALORI!$B$3)+(AN$33*VALORI!$B$5),0)</f>
        <v>0</v>
      </c>
      <c r="AO62" s="28">
        <f>IF(AO7&gt;0, (AO$30*VALORI!$B$4)+(AO$31*VALORI!$B$4)+(AO$32*VALORI!$B$3)+(AO$33*VALORI!$B$5),0)</f>
        <v>0</v>
      </c>
      <c r="AQ62" s="28">
        <f>IF(AQ7&gt;0, (AQ$30*VALORI!$B$4)+(AQ$31*VALORI!$B$4)+(AQ$32*VALORI!$B$3)+(AQ$33*VALORI!$B$5),0)</f>
        <v>0</v>
      </c>
      <c r="AR62" s="28">
        <f>IF(AR7&gt;0, (AR$30*VALORI!$B$4)+(AR$31*VALORI!$B$4)+(AR$32*VALORI!$B$3)+(AR$33*VALORI!$B$5),0)</f>
        <v>0</v>
      </c>
      <c r="AS62" s="28">
        <f>IF(AS7&gt;0, (AS$30*VALORI!$B$4)+(AS$31*VALORI!$B$4)+(AS$32*VALORI!$B$3)+(AS$33*VALORI!$B$5),0)</f>
        <v>0</v>
      </c>
      <c r="AT62" s="28">
        <f>IF(AT7&gt;0, (AT$30*VALORI!$B$4)+(AT$31*VALORI!$B$4)+(AT$32*VALORI!$B$3)+(AT$33*VALORI!$B$5),0)</f>
        <v>0</v>
      </c>
    </row>
    <row r="63" spans="23:46" ht="15.75" x14ac:dyDescent="0.25">
      <c r="W63" s="28">
        <f>IF(W8&gt;0, (W$30*VALORI!$B$4)+(W$31*VALORI!$B$4)+(W$32*VALORI!$B$3)+(W$33*VALORI!$B$5),0)</f>
        <v>0</v>
      </c>
      <c r="X63" s="28">
        <f>IF(X8&gt;0, (X$30*VALORI!$B$4)+(X$31*VALORI!$B$4)+(X$32*VALORI!$B$3)+(X$33*VALORI!$B$5),0)</f>
        <v>0</v>
      </c>
      <c r="Y63" s="28">
        <f>IF(Y8&gt;0, (Y$30*VALORI!$B$4)+(Y$31*VALORI!$B$4)+(Y$32*VALORI!$B$3)+(Y$33*VALORI!$B$5),0)</f>
        <v>0</v>
      </c>
      <c r="Z63" s="28">
        <f>IF(Z8&gt;0, (Z$30*VALORI!$B$4)+(Z$31*VALORI!$B$4)+(Z$32*VALORI!$B$3)+(Z$33*VALORI!$B$5),0)</f>
        <v>0</v>
      </c>
      <c r="AA63" s="28">
        <f>IF(AA8&gt;0, (AA$30*VALORI!$B$4)+(AA$31*VALORI!$B$4)+(AA$32*VALORI!$B$3)+(AA$33*VALORI!$B$5),0)</f>
        <v>0</v>
      </c>
      <c r="AB63" s="28">
        <f>IF(AB8&gt;0, (AB$30*VALORI!$B$4)+(AB$31*VALORI!$B$4)+(AB$32*VALORI!$B$3)+(AB$33*VALORI!$B$5),0)</f>
        <v>0</v>
      </c>
      <c r="AC63" s="28">
        <f>IF(AC8&gt;0, (AC$30*VALORI!$B$4)+(AC$31*VALORI!$B$4)+(AC$32*VALORI!$B$3)+(AC$33*VALORI!$B$5),0)</f>
        <v>0</v>
      </c>
      <c r="AD63" s="28">
        <f>IF(AD8&gt;0, (AD$30*VALORI!$B$4)+(AD$31*VALORI!$B$4)+(AD$32*VALORI!$B$3)+(AD$33*VALORI!$B$5),0)</f>
        <v>0</v>
      </c>
      <c r="AE63" s="28">
        <f>IF(AE8&gt;0, (AE$30*VALORI!$B$4)+(AE$31*VALORI!$B$4)+(AE$32*VALORI!$B$3)+(AE$33*VALORI!$B$5),0)</f>
        <v>0</v>
      </c>
      <c r="AF63" s="28">
        <f>IF(AF8&gt;0, (AF$30*VALORI!$B$4)+(AF$31*VALORI!$B$4)+(AF$32*VALORI!$B$3)+(AF$33*VALORI!$B$5),0)</f>
        <v>0</v>
      </c>
      <c r="AG63" s="28">
        <f>IF(AG8&gt;0, (AG$30*VALORI!$B$4)+(AG$31*VALORI!$B$4)+(AG$32*VALORI!$B$3)+(AG$33*VALORI!$B$5),0)</f>
        <v>0</v>
      </c>
      <c r="AH63" s="28">
        <f>IF(AH8&gt;0, (AH$30*VALORI!$B$4)+(AH$31*VALORI!$B$4)+(AH$32*VALORI!$B$3)+(AH$33*VALORI!$B$5),0)</f>
        <v>0</v>
      </c>
      <c r="AI63" s="28">
        <f>IF(AI8&gt;0, (AI$30*VALORI!$B$4)+(AI$31*VALORI!$B$4)+(AI$32*VALORI!$B$3)+(AI$33*VALORI!$B$5),0)</f>
        <v>0</v>
      </c>
      <c r="AJ63" s="28">
        <f>IF(AJ8&gt;0, (AJ$30*VALORI!$B$4)+(AJ$31*VALORI!$B$4)+(AJ$32*VALORI!$B$3)+(AJ$33*VALORI!$B$5),0)</f>
        <v>0</v>
      </c>
      <c r="AK63" s="28">
        <f>IF(AK8&gt;0, (AK$30*VALORI!$B$4)+(AK$31*VALORI!$B$4)+(AK$32*VALORI!$B$3)+(AK$33*VALORI!$B$5),0)</f>
        <v>0</v>
      </c>
      <c r="AL63" s="28">
        <f>IF(AL8&gt;0, (AL$30*VALORI!$B$4)+(AL$31*VALORI!$B$4)+(AL$32*VALORI!$B$3)+(AL$33*VALORI!$B$5),0)</f>
        <v>0</v>
      </c>
      <c r="AM63" s="28">
        <f>IF(AM8&gt;0, (AM$30*VALORI!$B$4)+(AM$31*VALORI!$B$4)+(AM$32*VALORI!$B$3)+(AM$33*VALORI!$B$5),0)</f>
        <v>0</v>
      </c>
      <c r="AN63" s="28">
        <f>IF(AN8&gt;0, (AN$30*VALORI!$B$4)+(AN$31*VALORI!$B$4)+(AN$32*VALORI!$B$3)+(AN$33*VALORI!$B$5),0)</f>
        <v>0</v>
      </c>
      <c r="AO63" s="28">
        <f>IF(AO8&gt;0, (AO$30*VALORI!$B$4)+(AO$31*VALORI!$B$4)+(AO$32*VALORI!$B$3)+(AO$33*VALORI!$B$5),0)</f>
        <v>0</v>
      </c>
      <c r="AQ63" s="28">
        <f>IF(AQ8&gt;0, (AQ$30*VALORI!$B$4)+(AQ$31*VALORI!$B$4)+(AQ$32*VALORI!$B$3)+(AQ$33*VALORI!$B$5),0)</f>
        <v>0</v>
      </c>
      <c r="AR63" s="28">
        <f>IF(AR8&gt;0, (AR$30*VALORI!$B$4)+(AR$31*VALORI!$B$4)+(AR$32*VALORI!$B$3)+(AR$33*VALORI!$B$5),0)</f>
        <v>0</v>
      </c>
      <c r="AS63" s="28">
        <f>IF(AS8&gt;0, (AS$30*VALORI!$B$4)+(AS$31*VALORI!$B$4)+(AS$32*VALORI!$B$3)+(AS$33*VALORI!$B$5),0)</f>
        <v>0</v>
      </c>
      <c r="AT63" s="28">
        <f>IF(AT8&gt;0, (AT$30*VALORI!$B$4)+(AT$31*VALORI!$B$4)+(AT$32*VALORI!$B$3)+(AT$33*VALORI!$B$5),0)</f>
        <v>0</v>
      </c>
    </row>
    <row r="64" spans="23:46" ht="15.75" x14ac:dyDescent="0.25">
      <c r="W64" s="28">
        <f>IF(W9&gt;0, (W$30*VALORI!$B$4)+(W$31*VALORI!$B$4)+(W$32*VALORI!$B$3)+(W$33*VALORI!$B$5),0)</f>
        <v>1240</v>
      </c>
      <c r="X64" s="28">
        <f>IF(X9&gt;0, (X$30*VALORI!$B$4)+(X$31*VALORI!$B$4)+(X$32*VALORI!$B$3)+(X$33*VALORI!$B$5),0)</f>
        <v>3720</v>
      </c>
      <c r="Y64" s="28">
        <f>IF(Y9&gt;0, (Y$30*VALORI!$B$4)+(Y$31*VALORI!$B$4)+(Y$32*VALORI!$B$3)+(Y$33*VALORI!$B$5),0)</f>
        <v>992</v>
      </c>
      <c r="Z64" s="28">
        <f>IF(Z9&gt;0, (Z$30*VALORI!$B$4)+(Z$31*VALORI!$B$4)+(Z$32*VALORI!$B$3)+(Z$33*VALORI!$B$5),0)</f>
        <v>992</v>
      </c>
      <c r="AA64" s="28">
        <f>IF(AA9&gt;0, (AA$30*VALORI!$B$4)+(AA$31*VALORI!$B$4)+(AA$32*VALORI!$B$3)+(AA$33*VALORI!$B$5),0)</f>
        <v>876</v>
      </c>
      <c r="AB64" s="28">
        <f>IF(AB9&gt;0, (AB$30*VALORI!$B$4)+(AB$31*VALORI!$B$4)+(AB$32*VALORI!$B$3)+(AB$33*VALORI!$B$5),0)</f>
        <v>103</v>
      </c>
      <c r="AC64" s="28">
        <f>IF(AC9&gt;0, (AC$30*VALORI!$B$4)+(AC$31*VALORI!$B$4)+(AC$32*VALORI!$B$3)+(AC$33*VALORI!$B$5),0)</f>
        <v>794</v>
      </c>
      <c r="AD64" s="28">
        <f>IF(AD9&gt;0, (AD$30*VALORI!$B$4)+(AD$31*VALORI!$B$4)+(AD$32*VALORI!$B$3)+(AD$33*VALORI!$B$5),0)</f>
        <v>2354</v>
      </c>
      <c r="AE64" s="28">
        <f>IF(AE9&gt;0, (AE$30*VALORI!$B$4)+(AE$31*VALORI!$B$4)+(AE$32*VALORI!$B$3)+(AE$33*VALORI!$B$5),0)</f>
        <v>1268</v>
      </c>
      <c r="AF64" s="28">
        <f>IF(AF9&gt;0, (AF$30*VALORI!$B$4)+(AF$31*VALORI!$B$4)+(AF$32*VALORI!$B$3)+(AF$33*VALORI!$B$5),0)</f>
        <v>1123</v>
      </c>
      <c r="AG64" s="28">
        <f>IF(AG9&gt;0, (AG$30*VALORI!$B$4)+(AG$31*VALORI!$B$4)+(AG$32*VALORI!$B$3)+(AG$33*VALORI!$B$5),0)</f>
        <v>1123</v>
      </c>
      <c r="AH64" s="28">
        <f>IF(AH9&gt;0, (AH$30*VALORI!$B$4)+(AH$31*VALORI!$B$4)+(AH$32*VALORI!$B$3)+(AH$33*VALORI!$B$5),0)</f>
        <v>148</v>
      </c>
      <c r="AI64" s="28">
        <f>IF(AI9&gt;0, (AI$30*VALORI!$B$4)+(AI$31*VALORI!$B$4)+(AI$32*VALORI!$B$3)+(AI$33*VALORI!$B$5),0)</f>
        <v>1600</v>
      </c>
      <c r="AJ64" s="28">
        <f>IF(AJ9&gt;0, (AJ$30*VALORI!$B$4)+(AJ$31*VALORI!$B$4)+(AJ$32*VALORI!$B$3)+(AJ$33*VALORI!$B$5),0)</f>
        <v>0</v>
      </c>
      <c r="AK64" s="28">
        <f>IF(AK9&gt;0, (AK$30*VALORI!$B$4)+(AK$31*VALORI!$B$4)+(AK$32*VALORI!$B$3)+(AK$33*VALORI!$B$5),0)</f>
        <v>0</v>
      </c>
      <c r="AL64" s="28">
        <f>IF(AL9&gt;0, (AL$30*VALORI!$B$4)+(AL$31*VALORI!$B$4)+(AL$32*VALORI!$B$3)+(AL$33*VALORI!$B$5),0)</f>
        <v>6340</v>
      </c>
      <c r="AM64" s="28">
        <f>IF(AM9&gt;0, (AM$30*VALORI!$B$4)+(AM$31*VALORI!$B$4)+(AM$32*VALORI!$B$3)+(AM$33*VALORI!$B$5),0)</f>
        <v>642</v>
      </c>
      <c r="AN64" s="28">
        <f>IF(AN9&gt;0, (AN$30*VALORI!$B$4)+(AN$31*VALORI!$B$4)+(AN$32*VALORI!$B$3)+(AN$33*VALORI!$B$5),0)</f>
        <v>0</v>
      </c>
      <c r="AO64" s="28">
        <f>IF(AO9&gt;0, (AO$30*VALORI!$B$4)+(AO$31*VALORI!$B$4)+(AO$32*VALORI!$B$3)+(AO$33*VALORI!$B$5),0)</f>
        <v>0</v>
      </c>
      <c r="AQ64" s="28">
        <f>IF(AQ9&gt;0, (AQ$30*VALORI!$B$4)+(AQ$31*VALORI!$B$4)+(AQ$32*VALORI!$B$3)+(AQ$33*VALORI!$B$5),0)</f>
        <v>0</v>
      </c>
      <c r="AR64" s="28">
        <f>IF(AR9&gt;0, (AR$30*VALORI!$B$4)+(AR$31*VALORI!$B$4)+(AR$32*VALORI!$B$3)+(AR$33*VALORI!$B$5),0)</f>
        <v>0</v>
      </c>
      <c r="AS64" s="28">
        <f>IF(AS9&gt;0, (AS$30*VALORI!$B$4)+(AS$31*VALORI!$B$4)+(AS$32*VALORI!$B$3)+(AS$33*VALORI!$B$5),0)</f>
        <v>0</v>
      </c>
      <c r="AT64" s="28">
        <f>IF(AT9&gt;0, (AT$30*VALORI!$B$4)+(AT$31*VALORI!$B$4)+(AT$32*VALORI!$B$3)+(AT$33*VALORI!$B$5),0)</f>
        <v>0</v>
      </c>
    </row>
    <row r="65" spans="23:46" ht="15.75" x14ac:dyDescent="0.25">
      <c r="W65" s="28">
        <f>IF(W10&gt;0, (W$30*VALORI!$B$4)+(W$31*VALORI!$B$4)+(W$32*VALORI!$B$3)+(W$33*VALORI!$B$5),0)</f>
        <v>0</v>
      </c>
      <c r="X65" s="28">
        <f>IF(X10&gt;0, (X$30*VALORI!$B$4)+(X$31*VALORI!$B$4)+(X$32*VALORI!$B$3)+(X$33*VALORI!$B$5),0)</f>
        <v>0</v>
      </c>
      <c r="Y65" s="28">
        <f>IF(Y10&gt;0, (Y$30*VALORI!$B$4)+(Y$31*VALORI!$B$4)+(Y$32*VALORI!$B$3)+(Y$33*VALORI!$B$5),0)</f>
        <v>0</v>
      </c>
      <c r="Z65" s="28">
        <f>IF(Z10&gt;0, (Z$30*VALORI!$B$4)+(Z$31*VALORI!$B$4)+(Z$32*VALORI!$B$3)+(Z$33*VALORI!$B$5),0)</f>
        <v>0</v>
      </c>
      <c r="AA65" s="28">
        <f>IF(AA10&gt;0, (AA$30*VALORI!$B$4)+(AA$31*VALORI!$B$4)+(AA$32*VALORI!$B$3)+(AA$33*VALORI!$B$5),0)</f>
        <v>0</v>
      </c>
      <c r="AB65" s="28">
        <f>IF(AB10&gt;0, (AB$30*VALORI!$B$4)+(AB$31*VALORI!$B$4)+(AB$32*VALORI!$B$3)+(AB$33*VALORI!$B$5),0)</f>
        <v>0</v>
      </c>
      <c r="AC65" s="28">
        <f>IF(AC10&gt;0, (AC$30*VALORI!$B$4)+(AC$31*VALORI!$B$4)+(AC$32*VALORI!$B$3)+(AC$33*VALORI!$B$5),0)</f>
        <v>0</v>
      </c>
      <c r="AD65" s="28">
        <f>IF(AD10&gt;0, (AD$30*VALORI!$B$4)+(AD$31*VALORI!$B$4)+(AD$32*VALORI!$B$3)+(AD$33*VALORI!$B$5),0)</f>
        <v>0</v>
      </c>
      <c r="AE65" s="28">
        <f>IF(AE10&gt;0, (AE$30*VALORI!$B$4)+(AE$31*VALORI!$B$4)+(AE$32*VALORI!$B$3)+(AE$33*VALORI!$B$5),0)</f>
        <v>0</v>
      </c>
      <c r="AF65" s="28">
        <f>IF(AF10&gt;0, (AF$30*VALORI!$B$4)+(AF$31*VALORI!$B$4)+(AF$32*VALORI!$B$3)+(AF$33*VALORI!$B$5),0)</f>
        <v>0</v>
      </c>
      <c r="AG65" s="28">
        <f>IF(AG10&gt;0, (AG$30*VALORI!$B$4)+(AG$31*VALORI!$B$4)+(AG$32*VALORI!$B$3)+(AG$33*VALORI!$B$5),0)</f>
        <v>0</v>
      </c>
      <c r="AH65" s="28">
        <f>IF(AH10&gt;0, (AH$30*VALORI!$B$4)+(AH$31*VALORI!$B$4)+(AH$32*VALORI!$B$3)+(AH$33*VALORI!$B$5),0)</f>
        <v>0</v>
      </c>
      <c r="AI65" s="28">
        <f>IF(AI10&gt;0, (AI$30*VALORI!$B$4)+(AI$31*VALORI!$B$4)+(AI$32*VALORI!$B$3)+(AI$33*VALORI!$B$5),0)</f>
        <v>0</v>
      </c>
      <c r="AJ65" s="28">
        <f>IF(AJ10&gt;0, (AJ$30*VALORI!$B$4)+(AJ$31*VALORI!$B$4)+(AJ$32*VALORI!$B$3)+(AJ$33*VALORI!$B$5),0)</f>
        <v>0</v>
      </c>
      <c r="AK65" s="28">
        <f>IF(AK10&gt;0, (AK$30*VALORI!$B$4)+(AK$31*VALORI!$B$4)+(AK$32*VALORI!$B$3)+(AK$33*VALORI!$B$5),0)</f>
        <v>0</v>
      </c>
      <c r="AL65" s="28">
        <f>IF(AL10&gt;0, (AL$30*VALORI!$B$4)+(AL$31*VALORI!$B$4)+(AL$32*VALORI!$B$3)+(AL$33*VALORI!$B$5),0)</f>
        <v>0</v>
      </c>
      <c r="AM65" s="28">
        <f>IF(AM10&gt;0, (AM$30*VALORI!$B$4)+(AM$31*VALORI!$B$4)+(AM$32*VALORI!$B$3)+(AM$33*VALORI!$B$5),0)</f>
        <v>0</v>
      </c>
      <c r="AN65" s="28">
        <f>IF(AN10&gt;0, (AN$30*VALORI!$B$4)+(AN$31*VALORI!$B$4)+(AN$32*VALORI!$B$3)+(AN$33*VALORI!$B$5),0)</f>
        <v>0</v>
      </c>
      <c r="AO65" s="28">
        <f>IF(AO10&gt;0, (AO$30*VALORI!$B$4)+(AO$31*VALORI!$B$4)+(AO$32*VALORI!$B$3)+(AO$33*VALORI!$B$5),0)</f>
        <v>0</v>
      </c>
      <c r="AQ65" s="28">
        <f>IF(AQ10&gt;0, (AQ$30*VALORI!$B$4)+(AQ$31*VALORI!$B$4)+(AQ$32*VALORI!$B$3)+(AQ$33*VALORI!$B$5),0)</f>
        <v>0</v>
      </c>
      <c r="AR65" s="28">
        <f>IF(AR10&gt;0, (AR$30*VALORI!$B$4)+(AR$31*VALORI!$B$4)+(AR$32*VALORI!$B$3)+(AR$33*VALORI!$B$5),0)</f>
        <v>0</v>
      </c>
      <c r="AS65" s="28">
        <f>IF(AS10&gt;0, (AS$30*VALORI!$B$4)+(AS$31*VALORI!$B$4)+(AS$32*VALORI!$B$3)+(AS$33*VALORI!$B$5),0)</f>
        <v>0</v>
      </c>
      <c r="AT65" s="28">
        <f>IF(AT10&gt;0, (AT$30*VALORI!$B$4)+(AT$31*VALORI!$B$4)+(AT$32*VALORI!$B$3)+(AT$33*VALORI!$B$5),0)</f>
        <v>0</v>
      </c>
    </row>
    <row r="66" spans="23:46" ht="15.75" x14ac:dyDescent="0.25">
      <c r="W66" s="28">
        <f>IF(W11&gt;0, (W$30*VALORI!$B$4)+(W$31*VALORI!$B$4)+(W$32*VALORI!$B$3)+(W$33*VALORI!$B$5),0)</f>
        <v>0</v>
      </c>
      <c r="X66" s="28">
        <f>IF(X11&gt;0, (X$30*VALORI!$B$4)+(X$31*VALORI!$B$4)+(X$32*VALORI!$B$3)+(X$33*VALORI!$B$5),0)</f>
        <v>0</v>
      </c>
      <c r="Y66" s="28">
        <f>IF(Y11&gt;0, (Y$30*VALORI!$B$4)+(Y$31*VALORI!$B$4)+(Y$32*VALORI!$B$3)+(Y$33*VALORI!$B$5),0)</f>
        <v>0</v>
      </c>
      <c r="Z66" s="28">
        <f>IF(Z11&gt;0, (Z$30*VALORI!$B$4)+(Z$31*VALORI!$B$4)+(Z$32*VALORI!$B$3)+(Z$33*VALORI!$B$5),0)</f>
        <v>0</v>
      </c>
      <c r="AA66" s="28">
        <f>IF(AA11&gt;0, (AA$30*VALORI!$B$4)+(AA$31*VALORI!$B$4)+(AA$32*VALORI!$B$3)+(AA$33*VALORI!$B$5),0)</f>
        <v>0</v>
      </c>
      <c r="AB66" s="28">
        <f>IF(AB11&gt;0, (AB$30*VALORI!$B$4)+(AB$31*VALORI!$B$4)+(AB$32*VALORI!$B$3)+(AB$33*VALORI!$B$5),0)</f>
        <v>0</v>
      </c>
      <c r="AC66" s="28">
        <f>IF(AC11&gt;0, (AC$30*VALORI!$B$4)+(AC$31*VALORI!$B$4)+(AC$32*VALORI!$B$3)+(AC$33*VALORI!$B$5),0)</f>
        <v>0</v>
      </c>
      <c r="AD66" s="28">
        <f>IF(AD11&gt;0, (AD$30*VALORI!$B$4)+(AD$31*VALORI!$B$4)+(AD$32*VALORI!$B$3)+(AD$33*VALORI!$B$5),0)</f>
        <v>0</v>
      </c>
      <c r="AE66" s="28">
        <f>IF(AE11&gt;0, (AE$30*VALORI!$B$4)+(AE$31*VALORI!$B$4)+(AE$32*VALORI!$B$3)+(AE$33*VALORI!$B$5),0)</f>
        <v>0</v>
      </c>
      <c r="AF66" s="28">
        <f>IF(AF11&gt;0, (AF$30*VALORI!$B$4)+(AF$31*VALORI!$B$4)+(AF$32*VALORI!$B$3)+(AF$33*VALORI!$B$5),0)</f>
        <v>0</v>
      </c>
      <c r="AG66" s="28">
        <f>IF(AG11&gt;0, (AG$30*VALORI!$B$4)+(AG$31*VALORI!$B$4)+(AG$32*VALORI!$B$3)+(AG$33*VALORI!$B$5),0)</f>
        <v>0</v>
      </c>
      <c r="AH66" s="28">
        <f>IF(AH11&gt;0, (AH$30*VALORI!$B$4)+(AH$31*VALORI!$B$4)+(AH$32*VALORI!$B$3)+(AH$33*VALORI!$B$5),0)</f>
        <v>0</v>
      </c>
      <c r="AI66" s="28">
        <f>IF(AI11&gt;0, (AI$30*VALORI!$B$4)+(AI$31*VALORI!$B$4)+(AI$32*VALORI!$B$3)+(AI$33*VALORI!$B$5),0)</f>
        <v>0</v>
      </c>
      <c r="AJ66" s="28">
        <f>IF(AJ11&gt;0, (AJ$30*VALORI!$B$4)+(AJ$31*VALORI!$B$4)+(AJ$32*VALORI!$B$3)+(AJ$33*VALORI!$B$5),0)</f>
        <v>0</v>
      </c>
      <c r="AK66" s="28">
        <f>IF(AK11&gt;0, (AK$30*VALORI!$B$4)+(AK$31*VALORI!$B$4)+(AK$32*VALORI!$B$3)+(AK$33*VALORI!$B$5),0)</f>
        <v>0</v>
      </c>
      <c r="AL66" s="28">
        <f>IF(AL11&gt;0, (AL$30*VALORI!$B$4)+(AL$31*VALORI!$B$4)+(AL$32*VALORI!$B$3)+(AL$33*VALORI!$B$5),0)</f>
        <v>0</v>
      </c>
      <c r="AM66" s="28">
        <f>IF(AM11&gt;0, (AM$30*VALORI!$B$4)+(AM$31*VALORI!$B$4)+(AM$32*VALORI!$B$3)+(AM$33*VALORI!$B$5),0)</f>
        <v>0</v>
      </c>
      <c r="AN66" s="28">
        <f>IF(AN11&gt;0, (AN$30*VALORI!$B$4)+(AN$31*VALORI!$B$4)+(AN$32*VALORI!$B$3)+(AN$33*VALORI!$B$5),0)</f>
        <v>0</v>
      </c>
      <c r="AO66" s="28">
        <f>IF(AO11&gt;0, (AO$30*VALORI!$B$4)+(AO$31*VALORI!$B$4)+(AO$32*VALORI!$B$3)+(AO$33*VALORI!$B$5),0)</f>
        <v>0</v>
      </c>
      <c r="AQ66" s="28">
        <f>IF(AQ11&gt;0, (AQ$30*VALORI!$B$4)+(AQ$31*VALORI!$B$4)+(AQ$32*VALORI!$B$3)+(AQ$33*VALORI!$B$5),0)</f>
        <v>0</v>
      </c>
      <c r="AR66" s="28">
        <f>IF(AR11&gt;0, (AR$30*VALORI!$B$4)+(AR$31*VALORI!$B$4)+(AR$32*VALORI!$B$3)+(AR$33*VALORI!$B$5),0)</f>
        <v>0</v>
      </c>
      <c r="AS66" s="28">
        <f>IF(AS11&gt;0, (AS$30*VALORI!$B$4)+(AS$31*VALORI!$B$4)+(AS$32*VALORI!$B$3)+(AS$33*VALORI!$B$5),0)</f>
        <v>0</v>
      </c>
      <c r="AT66" s="28">
        <f>IF(AT11&gt;0, (AT$30*VALORI!$B$4)+(AT$31*VALORI!$B$4)+(AT$32*VALORI!$B$3)+(AT$33*VALORI!$B$5),0)</f>
        <v>0</v>
      </c>
    </row>
    <row r="67" spans="23:46" ht="15.75" x14ac:dyDescent="0.25">
      <c r="W67" s="28">
        <f>IF(W12&gt;0, (W$30*VALORI!$B$4)+(W$31*VALORI!$B$4)+(W$32*VALORI!$B$3)+(W$33*VALORI!$B$5),0)</f>
        <v>0</v>
      </c>
      <c r="X67" s="28">
        <f>IF(X12&gt;0, (X$30*VALORI!$B$4)+(X$31*VALORI!$B$4)+(X$32*VALORI!$B$3)+(X$33*VALORI!$B$5),0)</f>
        <v>0</v>
      </c>
      <c r="Y67" s="28">
        <f>IF(Y12&gt;0, (Y$30*VALORI!$B$4)+(Y$31*VALORI!$B$4)+(Y$32*VALORI!$B$3)+(Y$33*VALORI!$B$5),0)</f>
        <v>0</v>
      </c>
      <c r="Z67" s="28">
        <f>IF(Z12&gt;0, (Z$30*VALORI!$B$4)+(Z$31*VALORI!$B$4)+(Z$32*VALORI!$B$3)+(Z$33*VALORI!$B$5),0)</f>
        <v>0</v>
      </c>
      <c r="AA67" s="28">
        <f>IF(AA12&gt;0, (AA$30*VALORI!$B$4)+(AA$31*VALORI!$B$4)+(AA$32*VALORI!$B$3)+(AA$33*VALORI!$B$5),0)</f>
        <v>0</v>
      </c>
      <c r="AB67" s="28">
        <f>IF(AB12&gt;0, (AB$30*VALORI!$B$4)+(AB$31*VALORI!$B$4)+(AB$32*VALORI!$B$3)+(AB$33*VALORI!$B$5),0)</f>
        <v>0</v>
      </c>
      <c r="AC67" s="28">
        <f>IF(AC12&gt;0, (AC$30*VALORI!$B$4)+(AC$31*VALORI!$B$4)+(AC$32*VALORI!$B$3)+(AC$33*VALORI!$B$5),0)</f>
        <v>0</v>
      </c>
      <c r="AD67" s="28">
        <f>IF(AD12&gt;0, (AD$30*VALORI!$B$4)+(AD$31*VALORI!$B$4)+(AD$32*VALORI!$B$3)+(AD$33*VALORI!$B$5),0)</f>
        <v>0</v>
      </c>
      <c r="AE67" s="28">
        <f>IF(AE12&gt;0, (AE$30*VALORI!$B$4)+(AE$31*VALORI!$B$4)+(AE$32*VALORI!$B$3)+(AE$33*VALORI!$B$5),0)</f>
        <v>0</v>
      </c>
      <c r="AF67" s="28">
        <f>IF(AF12&gt;0, (AF$30*VALORI!$B$4)+(AF$31*VALORI!$B$4)+(AF$32*VALORI!$B$3)+(AF$33*VALORI!$B$5),0)</f>
        <v>0</v>
      </c>
      <c r="AG67" s="28">
        <f>IF(AG12&gt;0, (AG$30*VALORI!$B$4)+(AG$31*VALORI!$B$4)+(AG$32*VALORI!$B$3)+(AG$33*VALORI!$B$5),0)</f>
        <v>0</v>
      </c>
      <c r="AH67" s="28">
        <f>IF(AH12&gt;0, (AH$30*VALORI!$B$4)+(AH$31*VALORI!$B$4)+(AH$32*VALORI!$B$3)+(AH$33*VALORI!$B$5),0)</f>
        <v>0</v>
      </c>
      <c r="AI67" s="28">
        <f>IF(AI12&gt;0, (AI$30*VALORI!$B$4)+(AI$31*VALORI!$B$4)+(AI$32*VALORI!$B$3)+(AI$33*VALORI!$B$5),0)</f>
        <v>0</v>
      </c>
      <c r="AJ67" s="28">
        <f>IF(AJ12&gt;0, (AJ$30*VALORI!$B$4)+(AJ$31*VALORI!$B$4)+(AJ$32*VALORI!$B$3)+(AJ$33*VALORI!$B$5),0)</f>
        <v>0</v>
      </c>
      <c r="AK67" s="28">
        <f>IF(AK12&gt;0, (AK$30*VALORI!$B$4)+(AK$31*VALORI!$B$4)+(AK$32*VALORI!$B$3)+(AK$33*VALORI!$B$5),0)</f>
        <v>0</v>
      </c>
      <c r="AL67" s="28">
        <f>IF(AL12&gt;0, (AL$30*VALORI!$B$4)+(AL$31*VALORI!$B$4)+(AL$32*VALORI!$B$3)+(AL$33*VALORI!$B$5),0)</f>
        <v>0</v>
      </c>
      <c r="AM67" s="28">
        <f>IF(AM12&gt;0, (AM$30*VALORI!$B$4)+(AM$31*VALORI!$B$4)+(AM$32*VALORI!$B$3)+(AM$33*VALORI!$B$5),0)</f>
        <v>0</v>
      </c>
      <c r="AN67" s="28">
        <f>IF(AN12&gt;0, (AN$30*VALORI!$B$4)+(AN$31*VALORI!$B$4)+(AN$32*VALORI!$B$3)+(AN$33*VALORI!$B$5),0)</f>
        <v>0</v>
      </c>
      <c r="AO67" s="28">
        <f>IF(AO12&gt;0, (AO$30*VALORI!$B$4)+(AO$31*VALORI!$B$4)+(AO$32*VALORI!$B$3)+(AO$33*VALORI!$B$5),0)</f>
        <v>0</v>
      </c>
      <c r="AQ67" s="28">
        <f>IF(AQ12&gt;0, (AQ$30*VALORI!$B$4)+(AQ$31*VALORI!$B$4)+(AQ$32*VALORI!$B$3)+(AQ$33*VALORI!$B$5),0)</f>
        <v>0</v>
      </c>
      <c r="AR67" s="28">
        <f>IF(AR12&gt;0, (AR$30*VALORI!$B$4)+(AR$31*VALORI!$B$4)+(AR$32*VALORI!$B$3)+(AR$33*VALORI!$B$5),0)</f>
        <v>0</v>
      </c>
      <c r="AS67" s="28">
        <f>IF(AS12&gt;0, (AS$30*VALORI!$B$4)+(AS$31*VALORI!$B$4)+(AS$32*VALORI!$B$3)+(AS$33*VALORI!$B$5),0)</f>
        <v>0</v>
      </c>
      <c r="AT67" s="28">
        <f>IF(AT12&gt;0, (AT$30*VALORI!$B$4)+(AT$31*VALORI!$B$4)+(AT$32*VALORI!$B$3)+(AT$33*VALORI!$B$5),0)</f>
        <v>0</v>
      </c>
    </row>
    <row r="68" spans="23:46" ht="15.75" x14ac:dyDescent="0.25">
      <c r="W68" s="28">
        <f>IF(W13&gt;0, (W$30*VALORI!$B$4)+(W$31*VALORI!$B$4)+(W$32*VALORI!$B$3)+(W$33*VALORI!$B$5),0)</f>
        <v>0</v>
      </c>
      <c r="X68" s="28">
        <f>IF(X13&gt;0, (X$30*VALORI!$B$4)+(X$31*VALORI!$B$4)+(X$32*VALORI!$B$3)+(X$33*VALORI!$B$5),0)</f>
        <v>0</v>
      </c>
      <c r="Y68" s="28">
        <f>IF(Y13&gt;0, (Y$30*VALORI!$B$4)+(Y$31*VALORI!$B$4)+(Y$32*VALORI!$B$3)+(Y$33*VALORI!$B$5),0)</f>
        <v>0</v>
      </c>
      <c r="Z68" s="28">
        <f>IF(Z13&gt;0, (Z$30*VALORI!$B$4)+(Z$31*VALORI!$B$4)+(Z$32*VALORI!$B$3)+(Z$33*VALORI!$B$5),0)</f>
        <v>0</v>
      </c>
      <c r="AA68" s="28">
        <f>IF(AA13&gt;0, (AA$30*VALORI!$B$4)+(AA$31*VALORI!$B$4)+(AA$32*VALORI!$B$3)+(AA$33*VALORI!$B$5),0)</f>
        <v>0</v>
      </c>
      <c r="AB68" s="28">
        <f>IF(AB13&gt;0, (AB$30*VALORI!$B$4)+(AB$31*VALORI!$B$4)+(AB$32*VALORI!$B$3)+(AB$33*VALORI!$B$5),0)</f>
        <v>0</v>
      </c>
      <c r="AC68" s="28">
        <f>IF(AC13&gt;0, (AC$30*VALORI!$B$4)+(AC$31*VALORI!$B$4)+(AC$32*VALORI!$B$3)+(AC$33*VALORI!$B$5),0)</f>
        <v>0</v>
      </c>
      <c r="AD68" s="28">
        <f>IF(AD13&gt;0, (AD$30*VALORI!$B$4)+(AD$31*VALORI!$B$4)+(AD$32*VALORI!$B$3)+(AD$33*VALORI!$B$5),0)</f>
        <v>0</v>
      </c>
      <c r="AE68" s="28">
        <f>IF(AE13&gt;0, (AE$30*VALORI!$B$4)+(AE$31*VALORI!$B$4)+(AE$32*VALORI!$B$3)+(AE$33*VALORI!$B$5),0)</f>
        <v>0</v>
      </c>
      <c r="AF68" s="28">
        <f>IF(AF13&gt;0, (AF$30*VALORI!$B$4)+(AF$31*VALORI!$B$4)+(AF$32*VALORI!$B$3)+(AF$33*VALORI!$B$5),0)</f>
        <v>0</v>
      </c>
      <c r="AG68" s="28">
        <f>IF(AG13&gt;0, (AG$30*VALORI!$B$4)+(AG$31*VALORI!$B$4)+(AG$32*VALORI!$B$3)+(AG$33*VALORI!$B$5),0)</f>
        <v>0</v>
      </c>
      <c r="AH68" s="28">
        <f>IF(AH13&gt;0, (AH$30*VALORI!$B$4)+(AH$31*VALORI!$B$4)+(AH$32*VALORI!$B$3)+(AH$33*VALORI!$B$5),0)</f>
        <v>0</v>
      </c>
      <c r="AI68" s="28">
        <f>IF(AI13&gt;0, (AI$30*VALORI!$B$4)+(AI$31*VALORI!$B$4)+(AI$32*VALORI!$B$3)+(AI$33*VALORI!$B$5),0)</f>
        <v>0</v>
      </c>
      <c r="AJ68" s="28">
        <f>IF(AJ13&gt;0, (AJ$30*VALORI!$B$4)+(AJ$31*VALORI!$B$4)+(AJ$32*VALORI!$B$3)+(AJ$33*VALORI!$B$5),0)</f>
        <v>0</v>
      </c>
      <c r="AK68" s="28">
        <f>IF(AK13&gt;0, (AK$30*VALORI!$B$4)+(AK$31*VALORI!$B$4)+(AK$32*VALORI!$B$3)+(AK$33*VALORI!$B$5),0)</f>
        <v>0</v>
      </c>
      <c r="AL68" s="28">
        <f>IF(AL13&gt;0, (AL$30*VALORI!$B$4)+(AL$31*VALORI!$B$4)+(AL$32*VALORI!$B$3)+(AL$33*VALORI!$B$5),0)</f>
        <v>0</v>
      </c>
      <c r="AM68" s="28">
        <f>IF(AM13&gt;0, (AM$30*VALORI!$B$4)+(AM$31*VALORI!$B$4)+(AM$32*VALORI!$B$3)+(AM$33*VALORI!$B$5),0)</f>
        <v>0</v>
      </c>
      <c r="AN68" s="28">
        <f>IF(AN13&gt;0, (AN$30*VALORI!$B$4)+(AN$31*VALORI!$B$4)+(AN$32*VALORI!$B$3)+(AN$33*VALORI!$B$5),0)</f>
        <v>0</v>
      </c>
      <c r="AO68" s="28">
        <f>IF(AO13&gt;0, (AO$30*VALORI!$B$4)+(AO$31*VALORI!$B$4)+(AO$32*VALORI!$B$3)+(AO$33*VALORI!$B$5),0)</f>
        <v>0</v>
      </c>
      <c r="AQ68" s="28">
        <f>IF(AQ13&gt;0, (AQ$30*VALORI!$B$4)+(AQ$31*VALORI!$B$4)+(AQ$32*VALORI!$B$3)+(AQ$33*VALORI!$B$5),0)</f>
        <v>0</v>
      </c>
      <c r="AR68" s="28">
        <f>IF(AR13&gt;0, (AR$30*VALORI!$B$4)+(AR$31*VALORI!$B$4)+(AR$32*VALORI!$B$3)+(AR$33*VALORI!$B$5),0)</f>
        <v>0</v>
      </c>
      <c r="AS68" s="28">
        <f>IF(AS13&gt;0, (AS$30*VALORI!$B$4)+(AS$31*VALORI!$B$4)+(AS$32*VALORI!$B$3)+(AS$33*VALORI!$B$5),0)</f>
        <v>0</v>
      </c>
      <c r="AT68" s="28">
        <f>IF(AT13&gt;0, (AT$30*VALORI!$B$4)+(AT$31*VALORI!$B$4)+(AT$32*VALORI!$B$3)+(AT$33*VALORI!$B$5),0)</f>
        <v>0</v>
      </c>
    </row>
    <row r="69" spans="23:46" ht="15.75" x14ac:dyDescent="0.25">
      <c r="W69" s="28">
        <f>IF(W14&gt;0, (W$30*VALORI!$B$4)+(W$31*VALORI!$B$4)+(W$32*VALORI!$B$3)+(W$33*VALORI!$B$5),0)</f>
        <v>0</v>
      </c>
      <c r="X69" s="28">
        <f>IF(X14&gt;0, (X$30*VALORI!$B$4)+(X$31*VALORI!$B$4)+(X$32*VALORI!$B$3)+(X$33*VALORI!$B$5),0)</f>
        <v>0</v>
      </c>
      <c r="Y69" s="28">
        <f>IF(Y14&gt;0, (Y$30*VALORI!$B$4)+(Y$31*VALORI!$B$4)+(Y$32*VALORI!$B$3)+(Y$33*VALORI!$B$5),0)</f>
        <v>0</v>
      </c>
      <c r="Z69" s="28">
        <f>IF(Z14&gt;0, (Z$30*VALORI!$B$4)+(Z$31*VALORI!$B$4)+(Z$32*VALORI!$B$3)+(Z$33*VALORI!$B$5),0)</f>
        <v>0</v>
      </c>
      <c r="AA69" s="28">
        <f>IF(AA14&gt;0, (AA$30*VALORI!$B$4)+(AA$31*VALORI!$B$4)+(AA$32*VALORI!$B$3)+(AA$33*VALORI!$B$5),0)</f>
        <v>0</v>
      </c>
      <c r="AB69" s="28">
        <f>IF(AB14&gt;0, (AB$30*VALORI!$B$4)+(AB$31*VALORI!$B$4)+(AB$32*VALORI!$B$3)+(AB$33*VALORI!$B$5),0)</f>
        <v>0</v>
      </c>
      <c r="AC69" s="28">
        <f>IF(AC14&gt;0, (AC$30*VALORI!$B$4)+(AC$31*VALORI!$B$4)+(AC$32*VALORI!$B$3)+(AC$33*VALORI!$B$5),0)</f>
        <v>0</v>
      </c>
      <c r="AD69" s="28">
        <f>IF(AD14&gt;0, (AD$30*VALORI!$B$4)+(AD$31*VALORI!$B$4)+(AD$32*VALORI!$B$3)+(AD$33*VALORI!$B$5),0)</f>
        <v>0</v>
      </c>
      <c r="AE69" s="28">
        <f>IF(AE14&gt;0, (AE$30*VALORI!$B$4)+(AE$31*VALORI!$B$4)+(AE$32*VALORI!$B$3)+(AE$33*VALORI!$B$5),0)</f>
        <v>0</v>
      </c>
      <c r="AF69" s="28">
        <f>IF(AF14&gt;0, (AF$30*VALORI!$B$4)+(AF$31*VALORI!$B$4)+(AF$32*VALORI!$B$3)+(AF$33*VALORI!$B$5),0)</f>
        <v>0</v>
      </c>
      <c r="AG69" s="28">
        <f>IF(AG14&gt;0, (AG$30*VALORI!$B$4)+(AG$31*VALORI!$B$4)+(AG$32*VALORI!$B$3)+(AG$33*VALORI!$B$5),0)</f>
        <v>0</v>
      </c>
      <c r="AH69" s="28">
        <f>IF(AH14&gt;0, (AH$30*VALORI!$B$4)+(AH$31*VALORI!$B$4)+(AH$32*VALORI!$B$3)+(AH$33*VALORI!$B$5),0)</f>
        <v>0</v>
      </c>
      <c r="AI69" s="28">
        <f>IF(AI14&gt;0, (AI$30*VALORI!$B$4)+(AI$31*VALORI!$B$4)+(AI$32*VALORI!$B$3)+(AI$33*VALORI!$B$5),0)</f>
        <v>0</v>
      </c>
      <c r="AJ69" s="28">
        <f>IF(AJ14&gt;0, (AJ$30*VALORI!$B$4)+(AJ$31*VALORI!$B$4)+(AJ$32*VALORI!$B$3)+(AJ$33*VALORI!$B$5),0)</f>
        <v>0</v>
      </c>
      <c r="AK69" s="28">
        <f>IF(AK14&gt;0, (AK$30*VALORI!$B$4)+(AK$31*VALORI!$B$4)+(AK$32*VALORI!$B$3)+(AK$33*VALORI!$B$5),0)</f>
        <v>0</v>
      </c>
      <c r="AL69" s="28">
        <f>IF(AL14&gt;0, (AL$30*VALORI!$B$4)+(AL$31*VALORI!$B$4)+(AL$32*VALORI!$B$3)+(AL$33*VALORI!$B$5),0)</f>
        <v>0</v>
      </c>
      <c r="AM69" s="28">
        <f>IF(AM14&gt;0, (AM$30*VALORI!$B$4)+(AM$31*VALORI!$B$4)+(AM$32*VALORI!$B$3)+(AM$33*VALORI!$B$5),0)</f>
        <v>0</v>
      </c>
      <c r="AN69" s="28">
        <f>IF(AN14&gt;0, (AN$30*VALORI!$B$4)+(AN$31*VALORI!$B$4)+(AN$32*VALORI!$B$3)+(AN$33*VALORI!$B$5),0)</f>
        <v>0</v>
      </c>
      <c r="AO69" s="28">
        <f>IF(AO14&gt;0, (AO$30*VALORI!$B$4)+(AO$31*VALORI!$B$4)+(AO$32*VALORI!$B$3)+(AO$33*VALORI!$B$5),0)</f>
        <v>0</v>
      </c>
      <c r="AQ69" s="28">
        <f>IF(AQ14&gt;0, (AQ$30*VALORI!$B$4)+(AQ$31*VALORI!$B$4)+(AQ$32*VALORI!$B$3)+(AQ$33*VALORI!$B$5),0)</f>
        <v>0</v>
      </c>
      <c r="AR69" s="28">
        <f>IF(AR14&gt;0, (AR$30*VALORI!$B$4)+(AR$31*VALORI!$B$4)+(AR$32*VALORI!$B$3)+(AR$33*VALORI!$B$5),0)</f>
        <v>0</v>
      </c>
      <c r="AS69" s="28">
        <f>IF(AS14&gt;0, (AS$30*VALORI!$B$4)+(AS$31*VALORI!$B$4)+(AS$32*VALORI!$B$3)+(AS$33*VALORI!$B$5),0)</f>
        <v>0</v>
      </c>
      <c r="AT69" s="28">
        <f>IF(AT14&gt;0, (AT$30*VALORI!$B$4)+(AT$31*VALORI!$B$4)+(AT$32*VALORI!$B$3)+(AT$33*VALORI!$B$5),0)</f>
        <v>0</v>
      </c>
    </row>
    <row r="70" spans="23:46" ht="15.75" x14ac:dyDescent="0.25">
      <c r="W70" s="28">
        <f>IF(W15&gt;0, (W$30*VALORI!$B$4)+(W$31*VALORI!$B$4)+(W$32*VALORI!$B$3)+(W$33*VALORI!$B$5),0)</f>
        <v>0</v>
      </c>
      <c r="X70" s="28">
        <f>IF(X15&gt;0, (X$30*VALORI!$B$4)+(X$31*VALORI!$B$4)+(X$32*VALORI!$B$3)+(X$33*VALORI!$B$5),0)</f>
        <v>0</v>
      </c>
      <c r="Y70" s="28">
        <f>IF(Y15&gt;0, (Y$30*VALORI!$B$4)+(Y$31*VALORI!$B$4)+(Y$32*VALORI!$B$3)+(Y$33*VALORI!$B$5),0)</f>
        <v>0</v>
      </c>
      <c r="Z70" s="28">
        <f>IF(Z15&gt;0, (Z$30*VALORI!$B$4)+(Z$31*VALORI!$B$4)+(Z$32*VALORI!$B$3)+(Z$33*VALORI!$B$5),0)</f>
        <v>0</v>
      </c>
      <c r="AA70" s="28">
        <f>IF(AA15&gt;0, (AA$30*VALORI!$B$4)+(AA$31*VALORI!$B$4)+(AA$32*VALORI!$B$3)+(AA$33*VALORI!$B$5),0)</f>
        <v>0</v>
      </c>
      <c r="AB70" s="28">
        <f>IF(AB15&gt;0, (AB$30*VALORI!$B$4)+(AB$31*VALORI!$B$4)+(AB$32*VALORI!$B$3)+(AB$33*VALORI!$B$5),0)</f>
        <v>0</v>
      </c>
      <c r="AC70" s="28">
        <f>IF(AC15&gt;0, (AC$30*VALORI!$B$4)+(AC$31*VALORI!$B$4)+(AC$32*VALORI!$B$3)+(AC$33*VALORI!$B$5),0)</f>
        <v>0</v>
      </c>
      <c r="AD70" s="28">
        <f>IF(AD15&gt;0, (AD$30*VALORI!$B$4)+(AD$31*VALORI!$B$4)+(AD$32*VALORI!$B$3)+(AD$33*VALORI!$B$5),0)</f>
        <v>0</v>
      </c>
      <c r="AE70" s="28">
        <f>IF(AE15&gt;0, (AE$30*VALORI!$B$4)+(AE$31*VALORI!$B$4)+(AE$32*VALORI!$B$3)+(AE$33*VALORI!$B$5),0)</f>
        <v>0</v>
      </c>
      <c r="AF70" s="28">
        <f>IF(AF15&gt;0, (AF$30*VALORI!$B$4)+(AF$31*VALORI!$B$4)+(AF$32*VALORI!$B$3)+(AF$33*VALORI!$B$5),0)</f>
        <v>0</v>
      </c>
      <c r="AG70" s="28">
        <f>IF(AG15&gt;0, (AG$30*VALORI!$B$4)+(AG$31*VALORI!$B$4)+(AG$32*VALORI!$B$3)+(AG$33*VALORI!$B$5),0)</f>
        <v>0</v>
      </c>
      <c r="AH70" s="28">
        <f>IF(AH15&gt;0, (AH$30*VALORI!$B$4)+(AH$31*VALORI!$B$4)+(AH$32*VALORI!$B$3)+(AH$33*VALORI!$B$5),0)</f>
        <v>0</v>
      </c>
      <c r="AI70" s="28">
        <f>IF(AI15&gt;0, (AI$30*VALORI!$B$4)+(AI$31*VALORI!$B$4)+(AI$32*VALORI!$B$3)+(AI$33*VALORI!$B$5),0)</f>
        <v>0</v>
      </c>
      <c r="AJ70" s="28">
        <f>IF(AJ15&gt;0, (AJ$30*VALORI!$B$4)+(AJ$31*VALORI!$B$4)+(AJ$32*VALORI!$B$3)+(AJ$33*VALORI!$B$5),0)</f>
        <v>0</v>
      </c>
      <c r="AK70" s="28">
        <f>IF(AK15&gt;0, (AK$30*VALORI!$B$4)+(AK$31*VALORI!$B$4)+(AK$32*VALORI!$B$3)+(AK$33*VALORI!$B$5),0)</f>
        <v>0</v>
      </c>
      <c r="AL70" s="28">
        <f>IF(AL15&gt;0, (AL$30*VALORI!$B$4)+(AL$31*VALORI!$B$4)+(AL$32*VALORI!$B$3)+(AL$33*VALORI!$B$5),0)</f>
        <v>0</v>
      </c>
      <c r="AM70" s="28">
        <f>IF(AM15&gt;0, (AM$30*VALORI!$B$4)+(AM$31*VALORI!$B$4)+(AM$32*VALORI!$B$3)+(AM$33*VALORI!$B$5),0)</f>
        <v>0</v>
      </c>
      <c r="AN70" s="28">
        <f>IF(AN15&gt;0, (AN$30*VALORI!$B$4)+(AN$31*VALORI!$B$4)+(AN$32*VALORI!$B$3)+(AN$33*VALORI!$B$5),0)</f>
        <v>0</v>
      </c>
      <c r="AO70" s="28">
        <f>IF(AO15&gt;0, (AO$30*VALORI!$B$4)+(AO$31*VALORI!$B$4)+(AO$32*VALORI!$B$3)+(AO$33*VALORI!$B$5),0)</f>
        <v>0</v>
      </c>
      <c r="AQ70" s="28">
        <f>IF(AQ15&gt;0, (AQ$30*VALORI!$B$4)+(AQ$31*VALORI!$B$4)+(AQ$32*VALORI!$B$3)+(AQ$33*VALORI!$B$5),0)</f>
        <v>0</v>
      </c>
      <c r="AR70" s="28">
        <f>IF(AR15&gt;0, (AR$30*VALORI!$B$4)+(AR$31*VALORI!$B$4)+(AR$32*VALORI!$B$3)+(AR$33*VALORI!$B$5),0)</f>
        <v>0</v>
      </c>
      <c r="AS70" s="28">
        <f>IF(AS15&gt;0, (AS$30*VALORI!$B$4)+(AS$31*VALORI!$B$4)+(AS$32*VALORI!$B$3)+(AS$33*VALORI!$B$5),0)</f>
        <v>0</v>
      </c>
      <c r="AT70" s="28">
        <f>IF(AT15&gt;0, (AT$30*VALORI!$B$4)+(AT$31*VALORI!$B$4)+(AT$32*VALORI!$B$3)+(AT$33*VALORI!$B$5),0)</f>
        <v>0</v>
      </c>
    </row>
    <row r="71" spans="23:46" ht="15.75" x14ac:dyDescent="0.25">
      <c r="W71" s="28">
        <f>IF(W25&gt;0, (W$30*VALORI!$B$4)+(W$31*VALORI!$B$4)+(W$32*VALORI!$B$3)+(W$33*VALORI!$B$5),0)</f>
        <v>0</v>
      </c>
      <c r="X71" s="28">
        <f>IF(X25&gt;0, (X$30*VALORI!$B$4)+(X$31*VALORI!$B$4)+(X$32*VALORI!$B$3)+(X$33*VALORI!$B$5),0)</f>
        <v>0</v>
      </c>
      <c r="Y71" s="28">
        <f>IF(Y25&gt;0, (Y$30*VALORI!$B$4)+(Y$31*VALORI!$B$4)+(Y$32*VALORI!$B$3)+(Y$33*VALORI!$B$5),0)</f>
        <v>0</v>
      </c>
      <c r="Z71" s="28">
        <f>IF(Z25&gt;0, (Z$30*VALORI!$B$4)+(Z$31*VALORI!$B$4)+(Z$32*VALORI!$B$3)+(Z$33*VALORI!$B$5),0)</f>
        <v>0</v>
      </c>
      <c r="AA71" s="28">
        <f>IF(AA25&gt;0, (AA$30*VALORI!$B$4)+(AA$31*VALORI!$B$4)+(AA$32*VALORI!$B$3)+(AA$33*VALORI!$B$5),0)</f>
        <v>0</v>
      </c>
      <c r="AB71" s="28">
        <f>IF(AB25&gt;0, (AB$30*VALORI!$B$4)+(AB$31*VALORI!$B$4)+(AB$32*VALORI!$B$3)+(AB$33*VALORI!$B$5),0)</f>
        <v>0</v>
      </c>
      <c r="AC71" s="28">
        <f>IF(AC25&gt;0, (AC$30*VALORI!$B$4)+(AC$31*VALORI!$B$4)+(AC$32*VALORI!$B$3)+(AC$33*VALORI!$B$5),0)</f>
        <v>0</v>
      </c>
      <c r="AD71" s="28">
        <f>IF(AD25&gt;0, (AD$30*VALORI!$B$4)+(AD$31*VALORI!$B$4)+(AD$32*VALORI!$B$3)+(AD$33*VALORI!$B$5),0)</f>
        <v>0</v>
      </c>
      <c r="AE71" s="28">
        <f>IF(AE25&gt;0, (AE$30*VALORI!$B$4)+(AE$31*VALORI!$B$4)+(AE$32*VALORI!$B$3)+(AE$33*VALORI!$B$5),0)</f>
        <v>0</v>
      </c>
      <c r="AF71" s="28">
        <f>IF(AF25&gt;0, (AF$30*VALORI!$B$4)+(AF$31*VALORI!$B$4)+(AF$32*VALORI!$B$3)+(AF$33*VALORI!$B$5),0)</f>
        <v>0</v>
      </c>
      <c r="AG71" s="28">
        <f>IF(AG25&gt;0, (AG$30*VALORI!$B$4)+(AG$31*VALORI!$B$4)+(AG$32*VALORI!$B$3)+(AG$33*VALORI!$B$5),0)</f>
        <v>0</v>
      </c>
      <c r="AH71" s="28">
        <f>IF(AH25&gt;0, (AH$30*VALORI!$B$4)+(AH$31*VALORI!$B$4)+(AH$32*VALORI!$B$3)+(AH$33*VALORI!$B$5),0)</f>
        <v>0</v>
      </c>
      <c r="AI71" s="28">
        <f>IF(AI25&gt;0, (AI$30*VALORI!$B$4)+(AI$31*VALORI!$B$4)+(AI$32*VALORI!$B$3)+(AI$33*VALORI!$B$5),0)</f>
        <v>0</v>
      </c>
      <c r="AJ71" s="28">
        <f>IF(AJ25&gt;0, (AJ$30*VALORI!$B$4)+(AJ$31*VALORI!$B$4)+(AJ$32*VALORI!$B$3)+(AJ$33*VALORI!$B$5),0)</f>
        <v>0</v>
      </c>
      <c r="AK71" s="28">
        <f>IF(AK25&gt;0, (AK$30*VALORI!$B$4)+(AK$31*VALORI!$B$4)+(AK$32*VALORI!$B$3)+(AK$33*VALORI!$B$5),0)</f>
        <v>0</v>
      </c>
      <c r="AL71" s="28">
        <f>IF(AL25&gt;0, (AL$30*VALORI!$B$4)+(AL$31*VALORI!$B$4)+(AL$32*VALORI!$B$3)+(AL$33*VALORI!$B$5),0)</f>
        <v>0</v>
      </c>
      <c r="AM71" s="28">
        <f>IF(AM25&gt;0, (AM$30*VALORI!$B$4)+(AM$31*VALORI!$B$4)+(AM$32*VALORI!$B$3)+(AM$33*VALORI!$B$5),0)</f>
        <v>0</v>
      </c>
      <c r="AN71" s="28">
        <f>IF(AN25&gt;0, (AN$30*VALORI!$B$4)+(AN$31*VALORI!$B$4)+(AN$32*VALORI!$B$3)+(AN$33*VALORI!$B$5),0)</f>
        <v>0</v>
      </c>
      <c r="AO71" s="28">
        <f>IF(AO25&gt;0, (AO$30*VALORI!$B$4)+(AO$31*VALORI!$B$4)+(AO$32*VALORI!$B$3)+(AO$33*VALORI!$B$5),0)</f>
        <v>0</v>
      </c>
      <c r="AQ71" s="28">
        <f>IF(AQ25&gt;0, (AQ$30*VALORI!$B$4)+(AQ$31*VALORI!$B$4)+(AQ$32*VALORI!$B$3)+(AQ$33*VALORI!$B$5),0)</f>
        <v>0</v>
      </c>
      <c r="AR71" s="28">
        <f>IF(AR25&gt;0, (AR$30*VALORI!$B$4)+(AR$31*VALORI!$B$4)+(AR$32*VALORI!$B$3)+(AR$33*VALORI!$B$5),0)</f>
        <v>0</v>
      </c>
      <c r="AS71" s="28">
        <f>IF(AS25&gt;0, (AS$30*VALORI!$B$4)+(AS$31*VALORI!$B$4)+(AS$32*VALORI!$B$3)+(AS$33*VALORI!$B$5),0)</f>
        <v>0</v>
      </c>
      <c r="AT71" s="28">
        <f>IF(AT25&gt;0, (AT$30*VALORI!$B$4)+(AT$31*VALORI!$B$4)+(AT$32*VALORI!$B$3)+(AT$33*VALORI!$B$5),0)</f>
        <v>0</v>
      </c>
    </row>
    <row r="72" spans="23:46" ht="15.75" x14ac:dyDescent="0.25">
      <c r="W72" s="28">
        <f>IF(W26&gt;0, (W$30*VALORI!$B$4)+(W$31*VALORI!$B$4)+(W$32*VALORI!$B$3)+(W$33*VALORI!$B$5),0)</f>
        <v>0</v>
      </c>
      <c r="X72" s="28">
        <f>IF(X26&gt;0, (X$30*VALORI!$B$4)+(X$31*VALORI!$B$4)+(X$32*VALORI!$B$3)+(X$33*VALORI!$B$5),0)</f>
        <v>0</v>
      </c>
      <c r="Y72" s="28">
        <f>IF(Y26&gt;0, (Y$30*VALORI!$B$4)+(Y$31*VALORI!$B$4)+(Y$32*VALORI!$B$3)+(Y$33*VALORI!$B$5),0)</f>
        <v>0</v>
      </c>
      <c r="Z72" s="28">
        <f>IF(Z26&gt;0, (Z$30*VALORI!$B$4)+(Z$31*VALORI!$B$4)+(Z$32*VALORI!$B$3)+(Z$33*VALORI!$B$5),0)</f>
        <v>0</v>
      </c>
      <c r="AA72" s="28">
        <f>IF(AA26&gt;0, (AA$30*VALORI!$B$4)+(AA$31*VALORI!$B$4)+(AA$32*VALORI!$B$3)+(AA$33*VALORI!$B$5),0)</f>
        <v>0</v>
      </c>
      <c r="AB72" s="28">
        <f>IF(AB26&gt;0, (AB$30*VALORI!$B$4)+(AB$31*VALORI!$B$4)+(AB$32*VALORI!$B$3)+(AB$33*VALORI!$B$5),0)</f>
        <v>0</v>
      </c>
      <c r="AC72" s="28">
        <f>IF(AC26&gt;0, (AC$30*VALORI!$B$4)+(AC$31*VALORI!$B$4)+(AC$32*VALORI!$B$3)+(AC$33*VALORI!$B$5),0)</f>
        <v>0</v>
      </c>
      <c r="AD72" s="28">
        <f>IF(AD26&gt;0, (AD$30*VALORI!$B$4)+(AD$31*VALORI!$B$4)+(AD$32*VALORI!$B$3)+(AD$33*VALORI!$B$5),0)</f>
        <v>0</v>
      </c>
      <c r="AE72" s="28">
        <f>IF(AE26&gt;0, (AE$30*VALORI!$B$4)+(AE$31*VALORI!$B$4)+(AE$32*VALORI!$B$3)+(AE$33*VALORI!$B$5),0)</f>
        <v>0</v>
      </c>
      <c r="AF72" s="28">
        <f>IF(AF26&gt;0, (AF$30*VALORI!$B$4)+(AF$31*VALORI!$B$4)+(AF$32*VALORI!$B$3)+(AF$33*VALORI!$B$5),0)</f>
        <v>0</v>
      </c>
      <c r="AG72" s="28">
        <f>IF(AG26&gt;0, (AG$30*VALORI!$B$4)+(AG$31*VALORI!$B$4)+(AG$32*VALORI!$B$3)+(AG$33*VALORI!$B$5),0)</f>
        <v>0</v>
      </c>
      <c r="AH72" s="28">
        <f>IF(AH26&gt;0, (AH$30*VALORI!$B$4)+(AH$31*VALORI!$B$4)+(AH$32*VALORI!$B$3)+(AH$33*VALORI!$B$5),0)</f>
        <v>0</v>
      </c>
      <c r="AI72" s="28">
        <f>IF(AI26&gt;0, (AI$30*VALORI!$B$4)+(AI$31*VALORI!$B$4)+(AI$32*VALORI!$B$3)+(AI$33*VALORI!$B$5),0)</f>
        <v>0</v>
      </c>
      <c r="AJ72" s="28">
        <f>IF(AJ26&gt;0, (AJ$30*VALORI!$B$4)+(AJ$31*VALORI!$B$4)+(AJ$32*VALORI!$B$3)+(AJ$33*VALORI!$B$5),0)</f>
        <v>0</v>
      </c>
      <c r="AK72" s="28">
        <f>IF(AK26&gt;0, (AK$30*VALORI!$B$4)+(AK$31*VALORI!$B$4)+(AK$32*VALORI!$B$3)+(AK$33*VALORI!$B$5),0)</f>
        <v>0</v>
      </c>
      <c r="AL72" s="28">
        <f>IF(AL26&gt;0, (AL$30*VALORI!$B$4)+(AL$31*VALORI!$B$4)+(AL$32*VALORI!$B$3)+(AL$33*VALORI!$B$5),0)</f>
        <v>0</v>
      </c>
      <c r="AM72" s="28">
        <f>IF(AM26&gt;0, (AM$30*VALORI!$B$4)+(AM$31*VALORI!$B$4)+(AM$32*VALORI!$B$3)+(AM$33*VALORI!$B$5),0)</f>
        <v>0</v>
      </c>
      <c r="AN72" s="28">
        <f>IF(AN26&gt;0, (AN$30*VALORI!$B$4)+(AN$31*VALORI!$B$4)+(AN$32*VALORI!$B$3)+(AN$33*VALORI!$B$5),0)</f>
        <v>0</v>
      </c>
      <c r="AO72" s="28">
        <f>IF(AO26&gt;0, (AO$30*VALORI!$B$4)+(AO$31*VALORI!$B$4)+(AO$32*VALORI!$B$3)+(AO$33*VALORI!$B$5),0)</f>
        <v>0</v>
      </c>
      <c r="AQ72" s="28">
        <f>IF(AQ26&gt;0, (AQ$30*VALORI!$B$4)+(AQ$31*VALORI!$B$4)+(AQ$32*VALORI!$B$3)+(AQ$33*VALORI!$B$5),0)</f>
        <v>0</v>
      </c>
      <c r="AR72" s="28">
        <f>IF(AR26&gt;0, (AR$30*VALORI!$B$4)+(AR$31*VALORI!$B$4)+(AR$32*VALORI!$B$3)+(AR$33*VALORI!$B$5),0)</f>
        <v>0</v>
      </c>
      <c r="AS72" s="28">
        <f>IF(AS26&gt;0, (AS$30*VALORI!$B$4)+(AS$31*VALORI!$B$4)+(AS$32*VALORI!$B$3)+(AS$33*VALORI!$B$5),0)</f>
        <v>0</v>
      </c>
      <c r="AT72" s="28">
        <f>IF(AT26&gt;0, (AT$30*VALORI!$B$4)+(AT$31*VALORI!$B$4)+(AT$32*VALORI!$B$3)+(AT$33*VALORI!$B$5),0)</f>
        <v>0</v>
      </c>
    </row>
    <row r="73" spans="23:46" ht="15.75" x14ac:dyDescent="0.25">
      <c r="W73" s="28">
        <f>IF(W27&gt;0, (W$30*VALORI!$B$4)+(W$31*VALORI!$B$4)+(W$32*VALORI!$B$3)+(W$33*VALORI!$B$5),0)</f>
        <v>0</v>
      </c>
      <c r="X73" s="28">
        <f>IF(X27&gt;0, (X$30*VALORI!$B$4)+(X$31*VALORI!$B$4)+(X$32*VALORI!$B$3)+(X$33*VALORI!$B$5),0)</f>
        <v>0</v>
      </c>
      <c r="Y73" s="28">
        <f>IF(Y27&gt;0, (Y$30*VALORI!$B$4)+(Y$31*VALORI!$B$4)+(Y$32*VALORI!$B$3)+(Y$33*VALORI!$B$5),0)</f>
        <v>0</v>
      </c>
      <c r="Z73" s="28">
        <f>IF(Z27&gt;0, (Z$30*VALORI!$B$4)+(Z$31*VALORI!$B$4)+(Z$32*VALORI!$B$3)+(Z$33*VALORI!$B$5),0)</f>
        <v>0</v>
      </c>
      <c r="AA73" s="28">
        <f>IF(AA27&gt;0, (AA$30*VALORI!$B$4)+(AA$31*VALORI!$B$4)+(AA$32*VALORI!$B$3)+(AA$33*VALORI!$B$5),0)</f>
        <v>0</v>
      </c>
      <c r="AB73" s="28">
        <f>IF(AB27&gt;0, (AB$30*VALORI!$B$4)+(AB$31*VALORI!$B$4)+(AB$32*VALORI!$B$3)+(AB$33*VALORI!$B$5),0)</f>
        <v>0</v>
      </c>
      <c r="AC73" s="28">
        <f>IF(AC27&gt;0, (AC$30*VALORI!$B$4)+(AC$31*VALORI!$B$4)+(AC$32*VALORI!$B$3)+(AC$33*VALORI!$B$5),0)</f>
        <v>0</v>
      </c>
      <c r="AD73" s="28">
        <f>IF(AD27&gt;0, (AD$30*VALORI!$B$4)+(AD$31*VALORI!$B$4)+(AD$32*VALORI!$B$3)+(AD$33*VALORI!$B$5),0)</f>
        <v>0</v>
      </c>
      <c r="AE73" s="28">
        <f>IF(AE27&gt;0, (AE$30*VALORI!$B$4)+(AE$31*VALORI!$B$4)+(AE$32*VALORI!$B$3)+(AE$33*VALORI!$B$5),0)</f>
        <v>0</v>
      </c>
      <c r="AF73" s="28">
        <f>IF(AF27&gt;0, (AF$30*VALORI!$B$4)+(AF$31*VALORI!$B$4)+(AF$32*VALORI!$B$3)+(AF$33*VALORI!$B$5),0)</f>
        <v>0</v>
      </c>
      <c r="AG73" s="28">
        <f>IF(AG27&gt;0, (AG$30*VALORI!$B$4)+(AG$31*VALORI!$B$4)+(AG$32*VALORI!$B$3)+(AG$33*VALORI!$B$5),0)</f>
        <v>0</v>
      </c>
      <c r="AH73" s="28">
        <f>IF(AH27&gt;0, (AH$30*VALORI!$B$4)+(AH$31*VALORI!$B$4)+(AH$32*VALORI!$B$3)+(AH$33*VALORI!$B$5),0)</f>
        <v>0</v>
      </c>
      <c r="AI73" s="28">
        <f>IF(AI27&gt;0, (AI$30*VALORI!$B$4)+(AI$31*VALORI!$B$4)+(AI$32*VALORI!$B$3)+(AI$33*VALORI!$B$5),0)</f>
        <v>0</v>
      </c>
      <c r="AJ73" s="28">
        <f>IF(AJ27&gt;0, (AJ$30*VALORI!$B$4)+(AJ$31*VALORI!$B$4)+(AJ$32*VALORI!$B$3)+(AJ$33*VALORI!$B$5),0)</f>
        <v>0</v>
      </c>
      <c r="AK73" s="28">
        <f>IF(AK27&gt;0, (AK$30*VALORI!$B$4)+(AK$31*VALORI!$B$4)+(AK$32*VALORI!$B$3)+(AK$33*VALORI!$B$5),0)</f>
        <v>0</v>
      </c>
      <c r="AL73" s="28">
        <f>IF(AL27&gt;0, (AL$30*VALORI!$B$4)+(AL$31*VALORI!$B$4)+(AL$32*VALORI!$B$3)+(AL$33*VALORI!$B$5),0)</f>
        <v>0</v>
      </c>
      <c r="AM73" s="28">
        <f>IF(AM27&gt;0, (AM$30*VALORI!$B$4)+(AM$31*VALORI!$B$4)+(AM$32*VALORI!$B$3)+(AM$33*VALORI!$B$5),0)</f>
        <v>0</v>
      </c>
      <c r="AN73" s="28">
        <f>IF(AN27&gt;0, (AN$30*VALORI!$B$4)+(AN$31*VALORI!$B$4)+(AN$32*VALORI!$B$3)+(AN$33*VALORI!$B$5),0)</f>
        <v>0</v>
      </c>
      <c r="AO73" s="28">
        <f>IF(AO27&gt;0, (AO$30*VALORI!$B$4)+(AO$31*VALORI!$B$4)+(AO$32*VALORI!$B$3)+(AO$33*VALORI!$B$5),0)</f>
        <v>0</v>
      </c>
      <c r="AQ73" s="28">
        <f>IF(AQ27&gt;0, (AQ$30*VALORI!$B$4)+(AQ$31*VALORI!$B$4)+(AQ$32*VALORI!$B$3)+(AQ$33*VALORI!$B$5),0)</f>
        <v>0</v>
      </c>
      <c r="AR73" s="28">
        <f>IF(AR27&gt;0, (AR$30*VALORI!$B$4)+(AR$31*VALORI!$B$4)+(AR$32*VALORI!$B$3)+(AR$33*VALORI!$B$5),0)</f>
        <v>0</v>
      </c>
      <c r="AS73" s="28">
        <f>IF(AS27&gt;0, (AS$30*VALORI!$B$4)+(AS$31*VALORI!$B$4)+(AS$32*VALORI!$B$3)+(AS$33*VALORI!$B$5),0)</f>
        <v>0</v>
      </c>
      <c r="AT73" s="28">
        <f>IF(AT27&gt;0, (AT$30*VALORI!$B$4)+(AT$31*VALORI!$B$4)+(AT$32*VALORI!$B$3)+(AT$33*VALORI!$B$5),0)</f>
        <v>0</v>
      </c>
    </row>
    <row r="74" spans="23:46" ht="15.75" x14ac:dyDescent="0.25">
      <c r="W74" s="28">
        <f>IF(W28&gt;0, (W$30*VALORI!$B$4)+(W$31*VALORI!$B$4)+(W$32*VALORI!$B$3)+(W$33*VALORI!$B$5),0)</f>
        <v>0</v>
      </c>
      <c r="X74" s="28">
        <f>IF(X28&gt;0, (X$30*VALORI!$B$4)+(X$31*VALORI!$B$4)+(X$32*VALORI!$B$3)+(X$33*VALORI!$B$5),0)</f>
        <v>0</v>
      </c>
      <c r="Y74" s="28">
        <f>IF(Y28&gt;0, (Y$30*VALORI!$B$4)+(Y$31*VALORI!$B$4)+(Y$32*VALORI!$B$3)+(Y$33*VALORI!$B$5),0)</f>
        <v>0</v>
      </c>
      <c r="Z74" s="28">
        <f>IF(Z28&gt;0, (Z$30*VALORI!$B$4)+(Z$31*VALORI!$B$4)+(Z$32*VALORI!$B$3)+(Z$33*VALORI!$B$5),0)</f>
        <v>0</v>
      </c>
      <c r="AA74" s="28">
        <f>IF(AA28&gt;0, (AA$30*VALORI!$B$4)+(AA$31*VALORI!$B$4)+(AA$32*VALORI!$B$3)+(AA$33*VALORI!$B$5),0)</f>
        <v>0</v>
      </c>
      <c r="AB74" s="28">
        <f>IF(AB28&gt;0, (AB$30*VALORI!$B$4)+(AB$31*VALORI!$B$4)+(AB$32*VALORI!$B$3)+(AB$33*VALORI!$B$5),0)</f>
        <v>0</v>
      </c>
      <c r="AC74" s="28">
        <f>IF(AC28&gt;0, (AC$30*VALORI!$B$4)+(AC$31*VALORI!$B$4)+(AC$32*VALORI!$B$3)+(AC$33*VALORI!$B$5),0)</f>
        <v>0</v>
      </c>
      <c r="AD74" s="28">
        <f>IF(AD28&gt;0, (AD$30*VALORI!$B$4)+(AD$31*VALORI!$B$4)+(AD$32*VALORI!$B$3)+(AD$33*VALORI!$B$5),0)</f>
        <v>0</v>
      </c>
      <c r="AE74" s="28">
        <f>IF(AE28&gt;0, (AE$30*VALORI!$B$4)+(AE$31*VALORI!$B$4)+(AE$32*VALORI!$B$3)+(AE$33*VALORI!$B$5),0)</f>
        <v>0</v>
      </c>
      <c r="AF74" s="28">
        <f>IF(AF28&gt;0, (AF$30*VALORI!$B$4)+(AF$31*VALORI!$B$4)+(AF$32*VALORI!$B$3)+(AF$33*VALORI!$B$5),0)</f>
        <v>0</v>
      </c>
      <c r="AG74" s="28">
        <f>IF(AG28&gt;0, (AG$30*VALORI!$B$4)+(AG$31*VALORI!$B$4)+(AG$32*VALORI!$B$3)+(AG$33*VALORI!$B$5),0)</f>
        <v>0</v>
      </c>
      <c r="AH74" s="28">
        <f>IF(AH28&gt;0, (AH$30*VALORI!$B$4)+(AH$31*VALORI!$B$4)+(AH$32*VALORI!$B$3)+(AH$33*VALORI!$B$5),0)</f>
        <v>0</v>
      </c>
      <c r="AI74" s="28">
        <f>IF(AI28&gt;0, (AI$30*VALORI!$B$4)+(AI$31*VALORI!$B$4)+(AI$32*VALORI!$B$3)+(AI$33*VALORI!$B$5),0)</f>
        <v>0</v>
      </c>
      <c r="AJ74" s="28">
        <f>IF(AJ28&gt;0, (AJ$30*VALORI!$B$4)+(AJ$31*VALORI!$B$4)+(AJ$32*VALORI!$B$3)+(AJ$33*VALORI!$B$5),0)</f>
        <v>0</v>
      </c>
      <c r="AK74" s="28">
        <f>IF(AK28&gt;0, (AK$30*VALORI!$B$4)+(AK$31*VALORI!$B$4)+(AK$32*VALORI!$B$3)+(AK$33*VALORI!$B$5),0)</f>
        <v>0</v>
      </c>
      <c r="AL74" s="28">
        <f>IF(AL28&gt;0, (AL$30*VALORI!$B$4)+(AL$31*VALORI!$B$4)+(AL$32*VALORI!$B$3)+(AL$33*VALORI!$B$5),0)</f>
        <v>0</v>
      </c>
      <c r="AM74" s="28">
        <f>IF(AM28&gt;0, (AM$30*VALORI!$B$4)+(AM$31*VALORI!$B$4)+(AM$32*VALORI!$B$3)+(AM$33*VALORI!$B$5),0)</f>
        <v>0</v>
      </c>
      <c r="AN74" s="28">
        <f>IF(AN28&gt;0, (AN$30*VALORI!$B$4)+(AN$31*VALORI!$B$4)+(AN$32*VALORI!$B$3)+(AN$33*VALORI!$B$5),0)</f>
        <v>0</v>
      </c>
      <c r="AO74" s="28">
        <f>IF(AO28&gt;0, (AO$30*VALORI!$B$4)+(AO$31*VALORI!$B$4)+(AO$32*VALORI!$B$3)+(AO$33*VALORI!$B$5),0)</f>
        <v>0</v>
      </c>
      <c r="AQ74" s="28">
        <f>IF(AQ28&gt;0, (AQ$30*VALORI!$B$4)+(AQ$31*VALORI!$B$4)+(AQ$32*VALORI!$B$3)+(AQ$33*VALORI!$B$5),0)</f>
        <v>0</v>
      </c>
      <c r="AR74" s="28">
        <f>IF(AR28&gt;0, (AR$30*VALORI!$B$4)+(AR$31*VALORI!$B$4)+(AR$32*VALORI!$B$3)+(AR$33*VALORI!$B$5),0)</f>
        <v>0</v>
      </c>
      <c r="AS74" s="28">
        <f>IF(AS28&gt;0, (AS$30*VALORI!$B$4)+(AS$31*VALORI!$B$4)+(AS$32*VALORI!$B$3)+(AS$33*VALORI!$B$5),0)</f>
        <v>0</v>
      </c>
      <c r="AT74" s="28">
        <f>IF(AT28&gt;0, (AT$30*VALORI!$B$4)+(AT$31*VALORI!$B$4)+(AT$32*VALORI!$B$3)+(AT$33*VALORI!$B$5),0)</f>
        <v>0</v>
      </c>
    </row>
  </sheetData>
  <sheetProtection algorithmName="SHA-512" hashValue="gUi5e3FvqXlya5K2W4N5AqZnCgfCE0LxN+s58n5ZEDKJtvWFvBtBIJKDlq8osMHiMx7lHaxepCsVixaZH+Dtew==" saltValue="LcExlbc1/qXkje3oz6SFcA==" spinCount="100000" sheet="1" objects="1" scenarios="1"/>
  <mergeCells count="2">
    <mergeCell ref="A1:U1"/>
    <mergeCell ref="O30:P33"/>
  </mergeCells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T74"/>
  <sheetViews>
    <sheetView zoomScale="70" zoomScaleNormal="70" workbookViewId="0">
      <selection activeCell="D18" sqref="D18"/>
    </sheetView>
  </sheetViews>
  <sheetFormatPr defaultRowHeight="15" x14ac:dyDescent="0.25"/>
  <cols>
    <col min="1" max="1" width="22.5703125" customWidth="1"/>
    <col min="2" max="2" width="36.5703125" customWidth="1"/>
    <col min="3" max="3" width="23.28515625" customWidth="1"/>
    <col min="4" max="4" width="24.7109375" customWidth="1"/>
    <col min="5" max="5" width="22.28515625" customWidth="1"/>
    <col min="6" max="8" width="6.42578125" customWidth="1"/>
    <col min="9" max="14" width="5.7109375" customWidth="1"/>
    <col min="15" max="15" width="13.28515625" customWidth="1"/>
    <col min="16" max="16" width="12.85546875" bestFit="1" customWidth="1"/>
    <col min="17" max="18" width="13.85546875" bestFit="1" customWidth="1"/>
    <col min="19" max="19" width="20.5703125" customWidth="1"/>
    <col min="20" max="21" width="14" bestFit="1" customWidth="1"/>
    <col min="23" max="23" width="12.140625" customWidth="1"/>
    <col min="24" max="26" width="12.85546875" bestFit="1" customWidth="1"/>
    <col min="27" max="27" width="11.5703125" bestFit="1" customWidth="1"/>
    <col min="28" max="28" width="11.5703125" customWidth="1"/>
    <col min="29" max="33" width="12.140625" bestFit="1" customWidth="1"/>
    <col min="34" max="34" width="12.140625" customWidth="1"/>
    <col min="35" max="35" width="12.42578125" customWidth="1"/>
    <col min="36" max="38" width="12.140625" customWidth="1"/>
    <col min="39" max="39" width="11.140625" bestFit="1" customWidth="1"/>
  </cols>
  <sheetData>
    <row r="1" spans="1:39" ht="21" customHeight="1" thickBot="1" x14ac:dyDescent="0.35">
      <c r="A1" s="215" t="s">
        <v>264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7"/>
      <c r="W1" s="51" t="s">
        <v>13</v>
      </c>
      <c r="X1" s="51" t="s">
        <v>13</v>
      </c>
      <c r="Y1" s="38" t="s">
        <v>13</v>
      </c>
      <c r="Z1" s="38" t="s">
        <v>13</v>
      </c>
      <c r="AA1" s="50" t="s">
        <v>13</v>
      </c>
      <c r="AB1" s="50"/>
      <c r="AC1" s="45" t="s">
        <v>13</v>
      </c>
      <c r="AD1" s="44" t="s">
        <v>13</v>
      </c>
      <c r="AE1" s="44" t="s">
        <v>13</v>
      </c>
      <c r="AF1" s="44" t="s">
        <v>13</v>
      </c>
      <c r="AG1" s="44" t="s">
        <v>13</v>
      </c>
      <c r="AH1" s="45" t="s">
        <v>13</v>
      </c>
      <c r="AI1" s="45" t="s">
        <v>13</v>
      </c>
      <c r="AJ1" s="46" t="s">
        <v>13</v>
      </c>
      <c r="AK1" s="46" t="s">
        <v>13</v>
      </c>
      <c r="AL1" s="46" t="s">
        <v>13</v>
      </c>
      <c r="AM1" s="37" t="s">
        <v>13</v>
      </c>
    </row>
    <row r="2" spans="1:39" ht="200.25" customHeight="1" x14ac:dyDescent="0.25">
      <c r="A2" s="29" t="s">
        <v>265</v>
      </c>
      <c r="B2" s="29" t="s">
        <v>15</v>
      </c>
      <c r="C2" s="29" t="s">
        <v>266</v>
      </c>
      <c r="D2" s="29" t="s">
        <v>19</v>
      </c>
      <c r="E2" s="29" t="s">
        <v>20</v>
      </c>
      <c r="F2" s="29"/>
      <c r="G2" s="29"/>
      <c r="H2" s="29"/>
      <c r="I2" s="30" t="s">
        <v>21</v>
      </c>
      <c r="J2" s="30" t="s">
        <v>22</v>
      </c>
      <c r="K2" s="30" t="s">
        <v>23</v>
      </c>
      <c r="L2" s="30" t="s">
        <v>24</v>
      </c>
      <c r="M2" s="30" t="s">
        <v>25</v>
      </c>
      <c r="N2" s="30" t="s">
        <v>26</v>
      </c>
      <c r="O2" s="18" t="s">
        <v>243</v>
      </c>
      <c r="P2" s="15" t="s">
        <v>28</v>
      </c>
      <c r="Q2" s="20" t="s">
        <v>29</v>
      </c>
      <c r="R2" s="22" t="s">
        <v>30</v>
      </c>
      <c r="S2" s="21" t="s">
        <v>301</v>
      </c>
      <c r="T2" s="31" t="s">
        <v>267</v>
      </c>
      <c r="U2" s="31" t="s">
        <v>32</v>
      </c>
      <c r="W2" s="36" t="s">
        <v>33</v>
      </c>
      <c r="X2" s="36" t="s">
        <v>34</v>
      </c>
      <c r="Y2" s="36" t="s">
        <v>35</v>
      </c>
      <c r="Z2" s="36" t="s">
        <v>36</v>
      </c>
      <c r="AA2" s="36" t="s">
        <v>37</v>
      </c>
      <c r="AB2" s="36" t="s">
        <v>318</v>
      </c>
      <c r="AC2" s="36" t="s">
        <v>38</v>
      </c>
      <c r="AD2" s="36" t="s">
        <v>39</v>
      </c>
      <c r="AE2" s="36" t="s">
        <v>40</v>
      </c>
      <c r="AF2" s="36" t="s">
        <v>41</v>
      </c>
      <c r="AG2" s="36" t="s">
        <v>42</v>
      </c>
      <c r="AH2" s="36" t="s">
        <v>43</v>
      </c>
      <c r="AI2" s="36" t="s">
        <v>326</v>
      </c>
      <c r="AJ2" s="36"/>
      <c r="AK2" s="36"/>
      <c r="AL2" s="36" t="s">
        <v>46</v>
      </c>
      <c r="AM2" s="36" t="s">
        <v>47</v>
      </c>
    </row>
    <row r="3" spans="1:39" ht="20.25" customHeight="1" x14ac:dyDescent="0.35">
      <c r="A3" s="11">
        <v>400</v>
      </c>
      <c r="B3" s="10" t="s">
        <v>268</v>
      </c>
      <c r="C3" s="10" t="s">
        <v>269</v>
      </c>
      <c r="D3" s="10" t="s">
        <v>270</v>
      </c>
      <c r="E3" s="10" t="s">
        <v>271</v>
      </c>
      <c r="F3" s="3"/>
      <c r="G3" s="3"/>
      <c r="H3" s="3"/>
      <c r="I3" s="3">
        <v>110</v>
      </c>
      <c r="J3" s="3">
        <v>75</v>
      </c>
      <c r="K3" s="3">
        <v>65</v>
      </c>
      <c r="L3" s="3">
        <v>400</v>
      </c>
      <c r="M3" s="3">
        <v>60</v>
      </c>
      <c r="N3" s="3">
        <v>100</v>
      </c>
      <c r="O3" s="23">
        <f>(VALORI!B$3 * CTA_NIDI!I3) + (VALORI!B$4 * CTA_NIDI!J3) + (VALORI!B$4 * CTA_NIDI!K3) + (VALORI!B$5 * CTA_NIDI!L3) + (VALORI!B$6 * CTA_NIDI!M3) + (VALORI!B$7 * CTA_NIDI!N3)</f>
        <v>26530</v>
      </c>
      <c r="P3" s="24">
        <f>(O3*25%)+O3</f>
        <v>33162.5</v>
      </c>
      <c r="Q3" s="25">
        <v>51289.055999999997</v>
      </c>
      <c r="R3" s="26">
        <f>(Q3*20%)+Q3</f>
        <v>61546.867199999993</v>
      </c>
      <c r="S3" s="27" t="s">
        <v>272</v>
      </c>
      <c r="T3" s="28">
        <f t="shared" ref="T3:U5" si="0">O3+Q3</f>
        <v>77819.055999999997</v>
      </c>
      <c r="U3" s="28">
        <f t="shared" si="0"/>
        <v>94709.367199999993</v>
      </c>
      <c r="V3" s="35" t="s">
        <v>55</v>
      </c>
      <c r="W3" s="28">
        <f>(Q3*6%)</f>
        <v>3077.3433599999998</v>
      </c>
      <c r="X3" s="28">
        <f>(Q3*20%)</f>
        <v>10257.8112</v>
      </c>
      <c r="Y3" s="28">
        <v>8000</v>
      </c>
      <c r="Z3" s="28">
        <f>(Y3*65%)+Y3</f>
        <v>13200</v>
      </c>
      <c r="AA3" s="28">
        <v>3800</v>
      </c>
      <c r="AB3" s="28">
        <v>5500</v>
      </c>
      <c r="AC3" s="28">
        <v>1300</v>
      </c>
      <c r="AD3" s="28">
        <v>8000</v>
      </c>
      <c r="AE3" s="28">
        <v>2200</v>
      </c>
      <c r="AF3" s="28">
        <v>2800</v>
      </c>
      <c r="AG3" s="28">
        <v>1100</v>
      </c>
      <c r="AH3" s="28">
        <v>2000</v>
      </c>
      <c r="AI3" s="28">
        <v>2100</v>
      </c>
      <c r="AJ3" s="28"/>
      <c r="AK3" s="28"/>
      <c r="AL3" s="28">
        <v>17000</v>
      </c>
      <c r="AM3" s="28">
        <v>8000</v>
      </c>
    </row>
    <row r="4" spans="1:39" ht="20.25" customHeight="1" x14ac:dyDescent="0.35">
      <c r="A4" s="11">
        <v>700</v>
      </c>
      <c r="B4" s="10" t="s">
        <v>273</v>
      </c>
      <c r="C4" s="10" t="s">
        <v>269</v>
      </c>
      <c r="D4" s="10" t="s">
        <v>274</v>
      </c>
      <c r="E4" s="10" t="s">
        <v>275</v>
      </c>
      <c r="F4" s="7"/>
      <c r="G4" s="7"/>
      <c r="H4" s="7"/>
      <c r="I4" s="3">
        <v>120</v>
      </c>
      <c r="J4" s="3">
        <v>75</v>
      </c>
      <c r="K4" s="3">
        <v>65</v>
      </c>
      <c r="L4" s="3">
        <v>500</v>
      </c>
      <c r="M4" s="3">
        <v>60</v>
      </c>
      <c r="N4" s="3">
        <v>100</v>
      </c>
      <c r="O4" s="23">
        <f>(VALORI!B$3 * CTA_NIDI!I4) + (VALORI!B$4 * CTA_NIDI!J4) + (VALORI!B$4 * CTA_NIDI!K4) + (VALORI!B$5 * CTA_NIDI!L4) + (VALORI!B$6 * CTA_NIDI!M4) + (VALORI!B$7 * CTA_NIDI!N4)</f>
        <v>29800</v>
      </c>
      <c r="P4" s="24">
        <f t="shared" ref="P4:P5" si="1">(O4*25%)+O4</f>
        <v>37250</v>
      </c>
      <c r="Q4" s="25">
        <v>70185.024000000005</v>
      </c>
      <c r="R4" s="26">
        <f t="shared" ref="R4:R5" si="2">(Q4*20%)+Q4</f>
        <v>84222.0288</v>
      </c>
      <c r="S4" s="27" t="s">
        <v>276</v>
      </c>
      <c r="T4" s="28">
        <f t="shared" si="0"/>
        <v>99985.024000000005</v>
      </c>
      <c r="U4" s="28">
        <f t="shared" si="0"/>
        <v>121472.0288</v>
      </c>
      <c r="V4" s="35" t="s">
        <v>55</v>
      </c>
      <c r="W4" s="28">
        <f>(Q4*6%)</f>
        <v>4211.1014400000004</v>
      </c>
      <c r="X4" s="28">
        <f>(Q4*20%)</f>
        <v>14037.004800000002</v>
      </c>
      <c r="Y4" s="28">
        <v>10000</v>
      </c>
      <c r="Z4" s="28">
        <f>(Y4*65%)+Y4</f>
        <v>16500</v>
      </c>
      <c r="AA4" s="28">
        <v>3800</v>
      </c>
      <c r="AB4" s="28">
        <v>5500</v>
      </c>
      <c r="AC4" s="28">
        <v>1300</v>
      </c>
      <c r="AD4" s="28">
        <v>8000</v>
      </c>
      <c r="AE4" s="28">
        <v>2200</v>
      </c>
      <c r="AF4" s="28">
        <v>2800</v>
      </c>
      <c r="AG4" s="28">
        <v>1100</v>
      </c>
      <c r="AH4" s="28">
        <v>2000</v>
      </c>
      <c r="AI4" s="28">
        <v>2100</v>
      </c>
      <c r="AJ4" s="28"/>
      <c r="AK4" s="28"/>
      <c r="AL4" s="28">
        <v>20000</v>
      </c>
      <c r="AM4" s="28">
        <v>8000</v>
      </c>
    </row>
    <row r="5" spans="1:39" ht="20.25" customHeight="1" x14ac:dyDescent="0.35">
      <c r="A5" s="11">
        <v>1000</v>
      </c>
      <c r="B5" s="10" t="s">
        <v>277</v>
      </c>
      <c r="C5" s="10" t="s">
        <v>278</v>
      </c>
      <c r="D5" s="10" t="s">
        <v>279</v>
      </c>
      <c r="E5" s="10" t="s">
        <v>275</v>
      </c>
      <c r="F5" s="7"/>
      <c r="G5" s="7"/>
      <c r="H5" s="7"/>
      <c r="I5" s="3">
        <v>120</v>
      </c>
      <c r="J5" s="3">
        <v>75</v>
      </c>
      <c r="K5" s="3">
        <v>65</v>
      </c>
      <c r="L5" s="3">
        <v>550</v>
      </c>
      <c r="M5" s="3">
        <v>70</v>
      </c>
      <c r="N5" s="3">
        <v>100</v>
      </c>
      <c r="O5" s="23">
        <f>(VALORI!B$3 * CTA_NIDI!I5) + (VALORI!B$4 * CTA_NIDI!J5) + (VALORI!B$4 * CTA_NIDI!K5) + (VALORI!B$5 * CTA_NIDI!L5) + (VALORI!B$6 * CTA_NIDI!M5) + (VALORI!B$7 * CTA_NIDI!N5)</f>
        <v>31540</v>
      </c>
      <c r="P5" s="24">
        <f t="shared" si="1"/>
        <v>39425</v>
      </c>
      <c r="Q5" s="25">
        <v>75583.871999999988</v>
      </c>
      <c r="R5" s="26">
        <f t="shared" si="2"/>
        <v>90700.646399999983</v>
      </c>
      <c r="S5" s="27" t="s">
        <v>280</v>
      </c>
      <c r="T5" s="28">
        <f t="shared" si="0"/>
        <v>107123.87199999999</v>
      </c>
      <c r="U5" s="28">
        <f t="shared" si="0"/>
        <v>130125.64639999998</v>
      </c>
      <c r="V5" s="35" t="s">
        <v>55</v>
      </c>
      <c r="W5" s="28">
        <f t="shared" ref="W5" si="3">(Q5*6%)</f>
        <v>4535.0323199999993</v>
      </c>
      <c r="X5" s="28">
        <f t="shared" ref="X5" si="4">(Q5*20%)</f>
        <v>15116.774399999998</v>
      </c>
      <c r="Y5" s="28">
        <v>12000</v>
      </c>
      <c r="Z5" s="28">
        <f t="shared" ref="Z5" si="5">(Y5*65%)+Y5</f>
        <v>19800</v>
      </c>
      <c r="AA5" s="28">
        <v>3800</v>
      </c>
      <c r="AB5" s="28">
        <v>5500</v>
      </c>
      <c r="AC5" s="28">
        <v>1300</v>
      </c>
      <c r="AD5" s="28">
        <v>8000</v>
      </c>
      <c r="AE5" s="28">
        <v>2200</v>
      </c>
      <c r="AF5" s="28">
        <v>2800</v>
      </c>
      <c r="AG5" s="28">
        <v>1100</v>
      </c>
      <c r="AH5" s="28">
        <v>2000</v>
      </c>
      <c r="AI5" s="28">
        <v>2100</v>
      </c>
      <c r="AJ5" s="28"/>
      <c r="AK5" s="28"/>
      <c r="AL5" s="28">
        <v>24000</v>
      </c>
      <c r="AM5" s="28">
        <v>8000</v>
      </c>
    </row>
    <row r="6" spans="1:39" x14ac:dyDescent="0.25">
      <c r="I6" s="4"/>
    </row>
    <row r="24" spans="9:39" x14ac:dyDescent="0.25">
      <c r="I24" s="4"/>
    </row>
    <row r="29" spans="9:39" x14ac:dyDescent="0.25">
      <c r="I29" s="4"/>
    </row>
    <row r="30" spans="9:39" ht="15.75" customHeight="1" x14ac:dyDescent="0.25">
      <c r="O30" s="218" t="s">
        <v>115</v>
      </c>
      <c r="P30" s="219"/>
      <c r="Q30" s="28" t="s">
        <v>116</v>
      </c>
      <c r="R30" s="28" t="s">
        <v>63</v>
      </c>
      <c r="S30" s="5"/>
      <c r="T30" s="28"/>
      <c r="U30" s="28"/>
      <c r="V30" s="28"/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4</v>
      </c>
      <c r="AD30" s="53">
        <v>8</v>
      </c>
      <c r="AE30" s="53">
        <v>8</v>
      </c>
      <c r="AF30" s="53">
        <v>8</v>
      </c>
      <c r="AG30" s="53">
        <v>8</v>
      </c>
      <c r="AH30" s="53">
        <v>0</v>
      </c>
      <c r="AI30" s="53">
        <v>8</v>
      </c>
      <c r="AJ30" s="53"/>
      <c r="AK30" s="53"/>
      <c r="AL30" s="53">
        <v>40</v>
      </c>
      <c r="AM30" s="53">
        <v>0</v>
      </c>
    </row>
    <row r="31" spans="9:39" ht="15.75" customHeight="1" x14ac:dyDescent="0.25">
      <c r="O31" s="220"/>
      <c r="P31" s="221"/>
      <c r="Q31" s="28" t="s">
        <v>117</v>
      </c>
      <c r="R31" s="28" t="s">
        <v>63</v>
      </c>
      <c r="S31" s="5"/>
      <c r="T31" s="28"/>
      <c r="U31" s="28"/>
      <c r="V31" s="28"/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8</v>
      </c>
      <c r="AD31" s="53">
        <v>8</v>
      </c>
      <c r="AE31" s="53">
        <v>8</v>
      </c>
      <c r="AF31" s="53">
        <v>8</v>
      </c>
      <c r="AG31" s="53">
        <v>8</v>
      </c>
      <c r="AH31" s="53">
        <v>0</v>
      </c>
      <c r="AI31" s="53">
        <v>8</v>
      </c>
      <c r="AJ31" s="53"/>
      <c r="AK31" s="53"/>
      <c r="AL31" s="53">
        <v>40</v>
      </c>
      <c r="AM31" s="53">
        <v>0</v>
      </c>
    </row>
    <row r="32" spans="9:39" ht="15.75" customHeight="1" x14ac:dyDescent="0.25">
      <c r="I32" s="2"/>
      <c r="O32" s="220"/>
      <c r="P32" s="221"/>
      <c r="Q32" s="28" t="s">
        <v>118</v>
      </c>
      <c r="R32" s="53">
        <v>30</v>
      </c>
      <c r="S32" s="5"/>
      <c r="T32" s="28"/>
      <c r="U32" s="28"/>
      <c r="V32" s="28"/>
      <c r="W32" s="53">
        <v>10</v>
      </c>
      <c r="X32" s="53">
        <v>30</v>
      </c>
      <c r="Y32" s="53">
        <v>8</v>
      </c>
      <c r="Z32" s="53">
        <v>8</v>
      </c>
      <c r="AA32" s="53">
        <v>8</v>
      </c>
      <c r="AB32" s="53">
        <v>2</v>
      </c>
      <c r="AC32" s="53">
        <v>6</v>
      </c>
      <c r="AD32" s="53">
        <v>8</v>
      </c>
      <c r="AE32" s="53">
        <v>10</v>
      </c>
      <c r="AF32" s="53">
        <v>10</v>
      </c>
      <c r="AG32" s="53">
        <v>10</v>
      </c>
      <c r="AH32" s="53">
        <v>4</v>
      </c>
      <c r="AI32" s="53">
        <v>8</v>
      </c>
      <c r="AJ32" s="53"/>
      <c r="AK32" s="53"/>
      <c r="AL32" s="53">
        <v>50</v>
      </c>
      <c r="AM32" s="53">
        <v>15</v>
      </c>
    </row>
    <row r="33" spans="9:46" ht="15.75" customHeight="1" x14ac:dyDescent="0.25">
      <c r="I33" s="2"/>
      <c r="O33" s="222"/>
      <c r="P33" s="223"/>
      <c r="Q33" s="28" t="s">
        <v>119</v>
      </c>
      <c r="R33" s="53">
        <v>90</v>
      </c>
      <c r="S33" s="5"/>
      <c r="T33" s="28"/>
      <c r="U33" s="28"/>
      <c r="V33" s="28"/>
      <c r="W33" s="53">
        <v>30</v>
      </c>
      <c r="X33" s="53">
        <v>90</v>
      </c>
      <c r="Y33" s="53">
        <v>24</v>
      </c>
      <c r="Z33" s="53">
        <v>24</v>
      </c>
      <c r="AA33" s="53">
        <v>20</v>
      </c>
      <c r="AB33" s="53">
        <v>1</v>
      </c>
      <c r="AC33" s="53">
        <v>4</v>
      </c>
      <c r="AD33" s="53">
        <v>50</v>
      </c>
      <c r="AE33" s="53">
        <v>10</v>
      </c>
      <c r="AF33" s="53">
        <v>5</v>
      </c>
      <c r="AG33" s="53">
        <v>5</v>
      </c>
      <c r="AH33" s="53">
        <v>0</v>
      </c>
      <c r="AI33" s="53">
        <v>24</v>
      </c>
      <c r="AJ33" s="53"/>
      <c r="AK33" s="53"/>
      <c r="AL33" s="53">
        <v>50</v>
      </c>
      <c r="AM33" s="53">
        <v>3</v>
      </c>
    </row>
    <row r="34" spans="9:46" x14ac:dyDescent="0.25">
      <c r="I34" s="2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</row>
    <row r="37" spans="9:46" ht="54.75" x14ac:dyDescent="0.25">
      <c r="O37" s="85"/>
      <c r="P37" s="85" t="s">
        <v>327</v>
      </c>
      <c r="Q37" s="85" t="s">
        <v>350</v>
      </c>
      <c r="R37" s="85" t="s">
        <v>345</v>
      </c>
      <c r="W37" s="94" t="s">
        <v>339</v>
      </c>
      <c r="X37" s="94" t="s">
        <v>339</v>
      </c>
      <c r="Y37" s="94" t="s">
        <v>339</v>
      </c>
      <c r="Z37" s="94" t="s">
        <v>339</v>
      </c>
      <c r="AA37" s="94" t="s">
        <v>339</v>
      </c>
      <c r="AB37" s="94" t="s">
        <v>339</v>
      </c>
      <c r="AC37" s="94" t="s">
        <v>339</v>
      </c>
      <c r="AD37" s="94" t="s">
        <v>339</v>
      </c>
      <c r="AE37" s="94" t="s">
        <v>339</v>
      </c>
      <c r="AF37" s="94" t="s">
        <v>339</v>
      </c>
      <c r="AG37" s="94" t="s">
        <v>339</v>
      </c>
      <c r="AH37" s="94" t="s">
        <v>339</v>
      </c>
      <c r="AI37" s="94" t="s">
        <v>339</v>
      </c>
      <c r="AJ37" s="94" t="s">
        <v>339</v>
      </c>
      <c r="AK37" s="94" t="s">
        <v>339</v>
      </c>
      <c r="AL37" s="94" t="s">
        <v>339</v>
      </c>
      <c r="AM37" s="94" t="s">
        <v>339</v>
      </c>
      <c r="AN37" s="94" t="s">
        <v>339</v>
      </c>
      <c r="AO37" s="94" t="s">
        <v>339</v>
      </c>
      <c r="AQ37" s="94" t="s">
        <v>339</v>
      </c>
      <c r="AR37" s="94" t="s">
        <v>339</v>
      </c>
      <c r="AS37" s="94" t="s">
        <v>339</v>
      </c>
      <c r="AT37" s="94" t="s">
        <v>339</v>
      </c>
    </row>
    <row r="38" spans="9:46" ht="15.75" x14ac:dyDescent="0.25">
      <c r="O38" s="25">
        <v>39900</v>
      </c>
      <c r="P38" s="25">
        <f>(O38*4%)+O38</f>
        <v>41496</v>
      </c>
      <c r="Q38" s="25">
        <f>(P38*20%)+P38</f>
        <v>49795.199999999997</v>
      </c>
      <c r="R38" s="25">
        <f>(Q38*3%)+Q38</f>
        <v>51289.055999999997</v>
      </c>
      <c r="W38" s="28">
        <f>IF(W3&gt;0, W3-(W$30*VALORI!$B$4)-(W$31*VALORI!$B$4)-(W$32*VALORI!$B$3)-(W$33*VALORI!$B$5),0)</f>
        <v>1837.3433599999998</v>
      </c>
      <c r="X38" s="28">
        <f>IF(X3&gt;0, X3-(X$30*VALORI!$B$4)-(X$31*VALORI!$B$4)-(X$32*VALORI!$B$3)-(X$33*VALORI!$B$5),0)</f>
        <v>6537.8112000000001</v>
      </c>
      <c r="Y38" s="28">
        <f>IF(Y3&gt;0, Y3-(Y$30*VALORI!$B$4)-(Y$31*VALORI!$B$4)-(Y$32*VALORI!$B$3)-(Y$33*VALORI!$B$5),0)</f>
        <v>7008</v>
      </c>
      <c r="Z38" s="28">
        <f>IF(Z3&gt;0, Z3-(Z$30*VALORI!$B$4)-(Z$31*VALORI!$B$4)-(Z$32*VALORI!$B$3)-(Z$33*VALORI!$B$5),0)</f>
        <v>12208</v>
      </c>
      <c r="AA38" s="28">
        <f>IF(AA3&gt;0, AA3-(AA$30*VALORI!$B$4)-(AA$31*VALORI!$B$4)-(AA$32*VALORI!$B$3)-(AA$33*VALORI!$B$5),0)</f>
        <v>2924</v>
      </c>
      <c r="AB38" s="28">
        <f>IF(AB3&gt;0, AB3-(AB$30*VALORI!$B$4)-(AB$31*VALORI!$B$4)-(AB$32*VALORI!$B$3)-(AB$33*VALORI!$B$5),0)</f>
        <v>5397</v>
      </c>
      <c r="AC38" s="28">
        <f>IF(AC3&gt;0, AC3-(AC$30*VALORI!$B$4)-(AC$31*VALORI!$B$4)-(AC$32*VALORI!$B$3)-(AC$33*VALORI!$B$5),0)</f>
        <v>506</v>
      </c>
      <c r="AD38" s="28">
        <f>IF(AD3&gt;0, AD3-(AD$30*VALORI!$B$4)-(AD$31*VALORI!$B$4)-(AD$32*VALORI!$B$3)-(AD$33*VALORI!$B$5),0)</f>
        <v>5646</v>
      </c>
      <c r="AE38" s="28">
        <f>IF(AE3&gt;0, AE3-(AE$30*VALORI!$B$4)-(AE$31*VALORI!$B$4)-(AE$32*VALORI!$B$3)-(AE$33*VALORI!$B$5),0)</f>
        <v>932</v>
      </c>
      <c r="AF38" s="28">
        <f>IF(AF3&gt;0, AF3-(AF$30*VALORI!$B$4)-(AF$31*VALORI!$B$4)-(AF$32*VALORI!$B$3)-(AF$33*VALORI!$B$5),0)</f>
        <v>1677</v>
      </c>
      <c r="AG38" s="28">
        <f>IF(AG3&gt;0, AG3-(AG$30*VALORI!$B$4)-(AG$31*VALORI!$B$4)-(AG$32*VALORI!$B$3)-(AG$33*VALORI!$B$5),0)</f>
        <v>-23</v>
      </c>
      <c r="AH38" s="28">
        <f>IF(AH3&gt;0, AH3-(AH$30*VALORI!$B$4)-(AH$31*VALORI!$B$4)-(AH$32*VALORI!$B$3)-(AH$33*VALORI!$B$5),0)</f>
        <v>1852</v>
      </c>
      <c r="AI38" s="28">
        <f>IF(AI3&gt;0, AI3-(AI$30*VALORI!$B$4)-(AI$31*VALORI!$B$4)-(AI$32*VALORI!$B$3)-(AI$33*VALORI!$B$5),0)</f>
        <v>500</v>
      </c>
      <c r="AJ38" s="28">
        <f>IF(AJ3&gt;0, AJ3-(AJ$30*VALORI!$B$4)-(AJ$31*VALORI!$B$4)-(AJ$32*VALORI!$B$3)-(AJ$33*VALORI!$B$5),0)</f>
        <v>0</v>
      </c>
      <c r="AK38" s="28">
        <f>IF(AK3&gt;0, AK3-(AK$30*VALORI!$B$4)-(AK$31*VALORI!$B$4)-(AK$32*VALORI!$B$3)-(AK$33*VALORI!$B$5),0)</f>
        <v>0</v>
      </c>
      <c r="AL38" s="28">
        <f>IF(AL3&gt;0, AL3-(AL$30*VALORI!$B$4)-(AL$31*VALORI!$B$4)-(AL$32*VALORI!$B$3)-(AL$33*VALORI!$B$5),0)</f>
        <v>10660</v>
      </c>
      <c r="AM38" s="28">
        <f>IF(AM3&gt;0, AM3-(AM$30*VALORI!$B$4)-(AM$31*VALORI!$B$4)-(AM$32*VALORI!$B$3)-(AM$33*VALORI!$B$5),0)</f>
        <v>7358</v>
      </c>
      <c r="AN38" s="28">
        <f>IF(AN3&gt;0, AN3-(AN$30*VALORI!$B$4)-(AN$31*VALORI!$B$4)-(AN$32*VALORI!$B$3)-(AN$33*VALORI!$B$5),0)</f>
        <v>0</v>
      </c>
      <c r="AO38" s="28">
        <f>IF(AO3&gt;0, AO3-(AO$30*VALORI!$B$4)-(AO$31*VALORI!$B$4)-(AO$32*VALORI!$B$3)-(AO$33*VALORI!$B$5),0)</f>
        <v>0</v>
      </c>
      <c r="AQ38" s="28">
        <f>IF(AQ3&gt;0, AQ3-(AQ$30*VALORI!$B$4)-(AQ$31*VALORI!$B$4)-(AQ$32*VALORI!$B$3)-(AQ$33*VALORI!$B$5),0)</f>
        <v>0</v>
      </c>
      <c r="AR38" s="28">
        <f>IF(AR3&gt;0, AR3-(AR$30*VALORI!$B$4)-(AR$31*VALORI!$B$4)-(AR$32*VALORI!$B$3)-(AR$33*VALORI!$B$5),0)</f>
        <v>0</v>
      </c>
      <c r="AS38" s="28">
        <f>IF(AS3&gt;0, AS3-(AS$30*VALORI!$B$4)-(AS$31*VALORI!$B$4)-(AS$32*VALORI!$B$3)-(AS$33*VALORI!$B$5),0)</f>
        <v>0</v>
      </c>
      <c r="AT38" s="28">
        <f>IF(AT3&gt;0, AT3-(AT$30*VALORI!$B$4)-(AT$31*VALORI!$B$4)-(AT$32*VALORI!$B$3)-(AT$33*VALORI!$B$5),0)</f>
        <v>0</v>
      </c>
    </row>
    <row r="39" spans="9:46" ht="15.75" x14ac:dyDescent="0.25">
      <c r="O39" s="25">
        <v>54600</v>
      </c>
      <c r="P39" s="25">
        <f t="shared" ref="P39:P40" si="6">(O39*4%)+O39</f>
        <v>56784</v>
      </c>
      <c r="Q39" s="25">
        <f t="shared" ref="Q39:Q40" si="7">(P39*20%)+P39</f>
        <v>68140.800000000003</v>
      </c>
      <c r="R39" s="25">
        <f t="shared" ref="R39:R42" si="8">(Q39*3%)+Q39</f>
        <v>70185.024000000005</v>
      </c>
      <c r="W39" s="28">
        <f>IF(W4&gt;0, W4-(W$30*VALORI!$B$4)-(W$31*VALORI!$B$4)-(W$32*VALORI!$B$3)-(W$33*VALORI!$B$5),0)</f>
        <v>2971.1014400000004</v>
      </c>
      <c r="X39" s="28">
        <f>IF(X4&gt;0, X4-(X$30*VALORI!$B$4)-(X$31*VALORI!$B$4)-(X$32*VALORI!$B$3)-(X$33*VALORI!$B$5),0)</f>
        <v>10317.004800000002</v>
      </c>
      <c r="Y39" s="28">
        <f>IF(Y4&gt;0, Y4-(Y$30*VALORI!$B$4)-(Y$31*VALORI!$B$4)-(Y$32*VALORI!$B$3)-(Y$33*VALORI!$B$5),0)</f>
        <v>9008</v>
      </c>
      <c r="Z39" s="28">
        <f>IF(Z4&gt;0, Z4-(Z$30*VALORI!$B$4)-(Z$31*VALORI!$B$4)-(Z$32*VALORI!$B$3)-(Z$33*VALORI!$B$5),0)</f>
        <v>15508</v>
      </c>
      <c r="AA39" s="28">
        <f>IF(AA4&gt;0, AA4-(AA$30*VALORI!$B$4)-(AA$31*VALORI!$B$4)-(AA$32*VALORI!$B$3)-(AA$33*VALORI!$B$5),0)</f>
        <v>2924</v>
      </c>
      <c r="AB39" s="28">
        <f>IF(AB4&gt;0, AB4-(AB$30*VALORI!$B$4)-(AB$31*VALORI!$B$4)-(AB$32*VALORI!$B$3)-(AB$33*VALORI!$B$5),0)</f>
        <v>5397</v>
      </c>
      <c r="AC39" s="28">
        <f>IF(AC4&gt;0, AC4-(AC$30*VALORI!$B$4)-(AC$31*VALORI!$B$4)-(AC$32*VALORI!$B$3)-(AC$33*VALORI!$B$5),0)</f>
        <v>506</v>
      </c>
      <c r="AD39" s="28">
        <f>IF(AD4&gt;0, AD4-(AD$30*VALORI!$B$4)-(AD$31*VALORI!$B$4)-(AD$32*VALORI!$B$3)-(AD$33*VALORI!$B$5),0)</f>
        <v>5646</v>
      </c>
      <c r="AE39" s="28">
        <f>IF(AE4&gt;0, AE4-(AE$30*VALORI!$B$4)-(AE$31*VALORI!$B$4)-(AE$32*VALORI!$B$3)-(AE$33*VALORI!$B$5),0)</f>
        <v>932</v>
      </c>
      <c r="AF39" s="28">
        <f>IF(AF4&gt;0, AF4-(AF$30*VALORI!$B$4)-(AF$31*VALORI!$B$4)-(AF$32*VALORI!$B$3)-(AF$33*VALORI!$B$5),0)</f>
        <v>1677</v>
      </c>
      <c r="AG39" s="28">
        <f>IF(AG4&gt;0, AG4-(AG$30*VALORI!$B$4)-(AG$31*VALORI!$B$4)-(AG$32*VALORI!$B$3)-(AG$33*VALORI!$B$5),0)</f>
        <v>-23</v>
      </c>
      <c r="AH39" s="28">
        <f>IF(AH4&gt;0, AH4-(AH$30*VALORI!$B$4)-(AH$31*VALORI!$B$4)-(AH$32*VALORI!$B$3)-(AH$33*VALORI!$B$5),0)</f>
        <v>1852</v>
      </c>
      <c r="AI39" s="28">
        <f>IF(AI4&gt;0, AI4-(AI$30*VALORI!$B$4)-(AI$31*VALORI!$B$4)-(AI$32*VALORI!$B$3)-(AI$33*VALORI!$B$5),0)</f>
        <v>500</v>
      </c>
      <c r="AJ39" s="28">
        <f>IF(AJ4&gt;0, AJ4-(AJ$30*VALORI!$B$4)-(AJ$31*VALORI!$B$4)-(AJ$32*VALORI!$B$3)-(AJ$33*VALORI!$B$5),0)</f>
        <v>0</v>
      </c>
      <c r="AK39" s="28">
        <f>IF(AK4&gt;0, AK4-(AK$30*VALORI!$B$4)-(AK$31*VALORI!$B$4)-(AK$32*VALORI!$B$3)-(AK$33*VALORI!$B$5),0)</f>
        <v>0</v>
      </c>
      <c r="AL39" s="28">
        <f>IF(AL4&gt;0, AL4-(AL$30*VALORI!$B$4)-(AL$31*VALORI!$B$4)-(AL$32*VALORI!$B$3)-(AL$33*VALORI!$B$5),0)</f>
        <v>13660</v>
      </c>
      <c r="AM39" s="28">
        <f>IF(AM4&gt;0, AM4-(AM$30*VALORI!$B$4)-(AM$31*VALORI!$B$4)-(AM$32*VALORI!$B$3)-(AM$33*VALORI!$B$5),0)</f>
        <v>7358</v>
      </c>
      <c r="AN39" s="28">
        <f>IF(AN4&gt;0, AN4-(AN$30*VALORI!$B$4)-(AN$31*VALORI!$B$4)-(AN$32*VALORI!$B$3)-(AN$33*VALORI!$B$5),0)</f>
        <v>0</v>
      </c>
      <c r="AO39" s="28">
        <f>IF(AO4&gt;0, AO4-(AO$30*VALORI!$B$4)-(AO$31*VALORI!$B$4)-(AO$32*VALORI!$B$3)-(AO$33*VALORI!$B$5),0)</f>
        <v>0</v>
      </c>
      <c r="AQ39" s="28">
        <f>IF(AQ4&gt;0, AQ4-(AQ$30*VALORI!$B$4)-(AQ$31*VALORI!$B$4)-(AQ$32*VALORI!$B$3)-(AQ$33*VALORI!$B$5),0)</f>
        <v>0</v>
      </c>
      <c r="AR39" s="28">
        <f>IF(AR4&gt;0, AR4-(AR$30*VALORI!$B$4)-(AR$31*VALORI!$B$4)-(AR$32*VALORI!$B$3)-(AR$33*VALORI!$B$5),0)</f>
        <v>0</v>
      </c>
      <c r="AS39" s="28">
        <f>IF(AS4&gt;0, AS4-(AS$30*VALORI!$B$4)-(AS$31*VALORI!$B$4)-(AS$32*VALORI!$B$3)-(AS$33*VALORI!$B$5),0)</f>
        <v>0</v>
      </c>
      <c r="AT39" s="28">
        <f>IF(AT4&gt;0, AT4-(AT$30*VALORI!$B$4)-(AT$31*VALORI!$B$4)-(AT$32*VALORI!$B$3)-(AT$33*VALORI!$B$5),0)</f>
        <v>0</v>
      </c>
    </row>
    <row r="40" spans="9:46" ht="15.75" x14ac:dyDescent="0.25">
      <c r="O40" s="25">
        <v>58800</v>
      </c>
      <c r="P40" s="25">
        <f t="shared" si="6"/>
        <v>61152</v>
      </c>
      <c r="Q40" s="25">
        <f t="shared" si="7"/>
        <v>73382.399999999994</v>
      </c>
      <c r="R40" s="25">
        <f t="shared" si="8"/>
        <v>75583.871999999988</v>
      </c>
      <c r="W40" s="28">
        <f>IF(W5&gt;0, W5-(W$30*VALORI!$B$4)-(W$31*VALORI!$B$4)-(W$32*VALORI!$B$3)-(W$33*VALORI!$B$5),0)</f>
        <v>3295.0323199999993</v>
      </c>
      <c r="X40" s="28">
        <f>IF(X5&gt;0, X5-(X$30*VALORI!$B$4)-(X$31*VALORI!$B$4)-(X$32*VALORI!$B$3)-(X$33*VALORI!$B$5),0)</f>
        <v>11396.774399999998</v>
      </c>
      <c r="Y40" s="28">
        <f>IF(Y5&gt;0, Y5-(Y$30*VALORI!$B$4)-(Y$31*VALORI!$B$4)-(Y$32*VALORI!$B$3)-(Y$33*VALORI!$B$5),0)</f>
        <v>11008</v>
      </c>
      <c r="Z40" s="28">
        <f>IF(Z5&gt;0, Z5-(Z$30*VALORI!$B$4)-(Z$31*VALORI!$B$4)-(Z$32*VALORI!$B$3)-(Z$33*VALORI!$B$5),0)</f>
        <v>18808</v>
      </c>
      <c r="AA40" s="28">
        <f>IF(AA5&gt;0, AA5-(AA$30*VALORI!$B$4)-(AA$31*VALORI!$B$4)-(AA$32*VALORI!$B$3)-(AA$33*VALORI!$B$5),0)</f>
        <v>2924</v>
      </c>
      <c r="AB40" s="28">
        <f>IF(AB5&gt;0, AB5-(AB$30*VALORI!$B$4)-(AB$31*VALORI!$B$4)-(AB$32*VALORI!$B$3)-(AB$33*VALORI!$B$5),0)</f>
        <v>5397</v>
      </c>
      <c r="AC40" s="28">
        <f>IF(AC5&gt;0, AC5-(AC$30*VALORI!$B$4)-(AC$31*VALORI!$B$4)-(AC$32*VALORI!$B$3)-(AC$33*VALORI!$B$5),0)</f>
        <v>506</v>
      </c>
      <c r="AD40" s="28">
        <f>IF(AD5&gt;0, AD5-(AD$30*VALORI!$B$4)-(AD$31*VALORI!$B$4)-(AD$32*VALORI!$B$3)-(AD$33*VALORI!$B$5),0)</f>
        <v>5646</v>
      </c>
      <c r="AE40" s="28">
        <f>IF(AE5&gt;0, AE5-(AE$30*VALORI!$B$4)-(AE$31*VALORI!$B$4)-(AE$32*VALORI!$B$3)-(AE$33*VALORI!$B$5),0)</f>
        <v>932</v>
      </c>
      <c r="AF40" s="28">
        <f>IF(AF5&gt;0, AF5-(AF$30*VALORI!$B$4)-(AF$31*VALORI!$B$4)-(AF$32*VALORI!$B$3)-(AF$33*VALORI!$B$5),0)</f>
        <v>1677</v>
      </c>
      <c r="AG40" s="28">
        <f>IF(AG5&gt;0, AG5-(AG$30*VALORI!$B$4)-(AG$31*VALORI!$B$4)-(AG$32*VALORI!$B$3)-(AG$33*VALORI!$B$5),0)</f>
        <v>-23</v>
      </c>
      <c r="AH40" s="28">
        <f>IF(AH5&gt;0, AH5-(AH$30*VALORI!$B$4)-(AH$31*VALORI!$B$4)-(AH$32*VALORI!$B$3)-(AH$33*VALORI!$B$5),0)</f>
        <v>1852</v>
      </c>
      <c r="AI40" s="28">
        <f>IF(AI5&gt;0, AI5-(AI$30*VALORI!$B$4)-(AI$31*VALORI!$B$4)-(AI$32*VALORI!$B$3)-(AI$33*VALORI!$B$5),0)</f>
        <v>500</v>
      </c>
      <c r="AJ40" s="28">
        <f>IF(AJ5&gt;0, AJ5-(AJ$30*VALORI!$B$4)-(AJ$31*VALORI!$B$4)-(AJ$32*VALORI!$B$3)-(AJ$33*VALORI!$B$5),0)</f>
        <v>0</v>
      </c>
      <c r="AK40" s="28">
        <f>IF(AK5&gt;0, AK5-(AK$30*VALORI!$B$4)-(AK$31*VALORI!$B$4)-(AK$32*VALORI!$B$3)-(AK$33*VALORI!$B$5),0)</f>
        <v>0</v>
      </c>
      <c r="AL40" s="28">
        <f>IF(AL5&gt;0, AL5-(AL$30*VALORI!$B$4)-(AL$31*VALORI!$B$4)-(AL$32*VALORI!$B$3)-(AL$33*VALORI!$B$5),0)</f>
        <v>17660</v>
      </c>
      <c r="AM40" s="28">
        <f>IF(AM5&gt;0, AM5-(AM$30*VALORI!$B$4)-(AM$31*VALORI!$B$4)-(AM$32*VALORI!$B$3)-(AM$33*VALORI!$B$5),0)</f>
        <v>7358</v>
      </c>
      <c r="AN40" s="28">
        <f>IF(AN5&gt;0, AN5-(AN$30*VALORI!$B$4)-(AN$31*VALORI!$B$4)-(AN$32*VALORI!$B$3)-(AN$33*VALORI!$B$5),0)</f>
        <v>0</v>
      </c>
      <c r="AO40" s="28">
        <f>IF(AO5&gt;0, AO5-(AO$30*VALORI!$B$4)-(AO$31*VALORI!$B$4)-(AO$32*VALORI!$B$3)-(AO$33*VALORI!$B$5),0)</f>
        <v>0</v>
      </c>
      <c r="AQ40" s="28">
        <f>IF(AQ5&gt;0, AQ5-(AQ$30*VALORI!$B$4)-(AQ$31*VALORI!$B$4)-(AQ$32*VALORI!$B$3)-(AQ$33*VALORI!$B$5),0)</f>
        <v>0</v>
      </c>
      <c r="AR40" s="28">
        <f>IF(AR5&gt;0, AR5-(AR$30*VALORI!$B$4)-(AR$31*VALORI!$B$4)-(AR$32*VALORI!$B$3)-(AR$33*VALORI!$B$5),0)</f>
        <v>0</v>
      </c>
      <c r="AS40" s="28">
        <f>IF(AS5&gt;0, AS5-(AS$30*VALORI!$B$4)-(AS$31*VALORI!$B$4)-(AS$32*VALORI!$B$3)-(AS$33*VALORI!$B$5),0)</f>
        <v>0</v>
      </c>
      <c r="AT40" s="28">
        <f>IF(AT5&gt;0, AT5-(AT$30*VALORI!$B$4)-(AT$31*VALORI!$B$4)-(AT$32*VALORI!$B$3)-(AT$33*VALORI!$B$5),0)</f>
        <v>0</v>
      </c>
    </row>
    <row r="41" spans="9:46" ht="15.75" x14ac:dyDescent="0.25">
      <c r="O41" s="25">
        <f t="shared" ref="O41:O42" si="9">(N41*4%)+N41</f>
        <v>0</v>
      </c>
      <c r="P41" s="25"/>
      <c r="Q41" s="25"/>
      <c r="R41" s="25">
        <f t="shared" si="8"/>
        <v>0</v>
      </c>
      <c r="W41" s="28">
        <f>IF(W6&gt;0, W6-(W$30*VALORI!$B$4)-(W$31*VALORI!$B$4)-(W$32*VALORI!$B$3)-(W$33*VALORI!$B$5),0)</f>
        <v>0</v>
      </c>
      <c r="X41" s="28">
        <f>IF(X6&gt;0, X6-(X$30*VALORI!$B$4)-(X$31*VALORI!$B$4)-(X$32*VALORI!$B$3)-(X$33*VALORI!$B$5),0)</f>
        <v>0</v>
      </c>
      <c r="Y41" s="28">
        <f>IF(Y6&gt;0, Y6-(Y$30*VALORI!$B$4)-(Y$31*VALORI!$B$4)-(Y$32*VALORI!$B$3)-(Y$33*VALORI!$B$5),0)</f>
        <v>0</v>
      </c>
      <c r="Z41" s="28">
        <f>IF(Z6&gt;0, Z6-(Z$30*VALORI!$B$4)-(Z$31*VALORI!$B$4)-(Z$32*VALORI!$B$3)-(Z$33*VALORI!$B$5),0)</f>
        <v>0</v>
      </c>
      <c r="AA41" s="28">
        <f>IF(AA6&gt;0, AA6-(AA$30*VALORI!$B$4)-(AA$31*VALORI!$B$4)-(AA$32*VALORI!$B$3)-(AA$33*VALORI!$B$5),0)</f>
        <v>0</v>
      </c>
      <c r="AB41" s="28">
        <f>IF(AB6&gt;0, AB6-(AB$30*VALORI!$B$4)-(AB$31*VALORI!$B$4)-(AB$32*VALORI!$B$3)-(AB$33*VALORI!$B$5),0)</f>
        <v>0</v>
      </c>
      <c r="AC41" s="28">
        <f>IF(AC6&gt;0, AC6-(AC$30*VALORI!$B$4)-(AC$31*VALORI!$B$4)-(AC$32*VALORI!$B$3)-(AC$33*VALORI!$B$5),0)</f>
        <v>0</v>
      </c>
      <c r="AD41" s="28">
        <f>IF(AD6&gt;0, AD6-(AD$30*VALORI!$B$4)-(AD$31*VALORI!$B$4)-(AD$32*VALORI!$B$3)-(AD$33*VALORI!$B$5),0)</f>
        <v>0</v>
      </c>
      <c r="AE41" s="28">
        <f>IF(AE6&gt;0, AE6-(AE$30*VALORI!$B$4)-(AE$31*VALORI!$B$4)-(AE$32*VALORI!$B$3)-(AE$33*VALORI!$B$5),0)</f>
        <v>0</v>
      </c>
      <c r="AF41" s="28">
        <f>IF(AF6&gt;0, AF6-(AF$30*VALORI!$B$4)-(AF$31*VALORI!$B$4)-(AF$32*VALORI!$B$3)-(AF$33*VALORI!$B$5),0)</f>
        <v>0</v>
      </c>
      <c r="AG41" s="28">
        <f>IF(AG6&gt;0, AG6-(AG$30*VALORI!$B$4)-(AG$31*VALORI!$B$4)-(AG$32*VALORI!$B$3)-(AG$33*VALORI!$B$5),0)</f>
        <v>0</v>
      </c>
      <c r="AH41" s="28">
        <f>IF(AH6&gt;0, AH6-(AH$30*VALORI!$B$4)-(AH$31*VALORI!$B$4)-(AH$32*VALORI!$B$3)-(AH$33*VALORI!$B$5),0)</f>
        <v>0</v>
      </c>
      <c r="AI41" s="28">
        <f>IF(AI6&gt;0, AI6-(AI$30*VALORI!$B$4)-(AI$31*VALORI!$B$4)-(AI$32*VALORI!$B$3)-(AI$33*VALORI!$B$5),0)</f>
        <v>0</v>
      </c>
      <c r="AJ41" s="28">
        <f>IF(AJ6&gt;0, AJ6-(AJ$30*VALORI!$B$4)-(AJ$31*VALORI!$B$4)-(AJ$32*VALORI!$B$3)-(AJ$33*VALORI!$B$5),0)</f>
        <v>0</v>
      </c>
      <c r="AK41" s="28">
        <f>IF(AK6&gt;0, AK6-(AK$30*VALORI!$B$4)-(AK$31*VALORI!$B$4)-(AK$32*VALORI!$B$3)-(AK$33*VALORI!$B$5),0)</f>
        <v>0</v>
      </c>
      <c r="AL41" s="28">
        <f>IF(AL6&gt;0, AL6-(AL$30*VALORI!$B$4)-(AL$31*VALORI!$B$4)-(AL$32*VALORI!$B$3)-(AL$33*VALORI!$B$5),0)</f>
        <v>0</v>
      </c>
      <c r="AM41" s="28">
        <f>IF(AM6&gt;0, AM6-(AM$30*VALORI!$B$4)-(AM$31*VALORI!$B$4)-(AM$32*VALORI!$B$3)-(AM$33*VALORI!$B$5),0)</f>
        <v>0</v>
      </c>
      <c r="AN41" s="28">
        <f>IF(AN6&gt;0, AN6-(AN$30*VALORI!$B$4)-(AN$31*VALORI!$B$4)-(AN$32*VALORI!$B$3)-(AN$33*VALORI!$B$5),0)</f>
        <v>0</v>
      </c>
      <c r="AO41" s="28">
        <f>IF(AO6&gt;0, AO6-(AO$30*VALORI!$B$4)-(AO$31*VALORI!$B$4)-(AO$32*VALORI!$B$3)-(AO$33*VALORI!$B$5),0)</f>
        <v>0</v>
      </c>
      <c r="AQ41" s="28">
        <f>IF(AQ6&gt;0, AQ6-(AQ$30*VALORI!$B$4)-(AQ$31*VALORI!$B$4)-(AQ$32*VALORI!$B$3)-(AQ$33*VALORI!$B$5),0)</f>
        <v>0</v>
      </c>
      <c r="AR41" s="28">
        <f>IF(AR6&gt;0, AR6-(AR$30*VALORI!$B$4)-(AR$31*VALORI!$B$4)-(AR$32*VALORI!$B$3)-(AR$33*VALORI!$B$5),0)</f>
        <v>0</v>
      </c>
      <c r="AS41" s="28">
        <f>IF(AS6&gt;0, AS6-(AS$30*VALORI!$B$4)-(AS$31*VALORI!$B$4)-(AS$32*VALORI!$B$3)-(AS$33*VALORI!$B$5),0)</f>
        <v>0</v>
      </c>
      <c r="AT41" s="28">
        <f>IF(AT6&gt;0, AT6-(AT$30*VALORI!$B$4)-(AT$31*VALORI!$B$4)-(AT$32*VALORI!$B$3)-(AT$33*VALORI!$B$5),0)</f>
        <v>0</v>
      </c>
    </row>
    <row r="42" spans="9:46" ht="15.75" x14ac:dyDescent="0.25">
      <c r="O42" s="25">
        <f t="shared" si="9"/>
        <v>0</v>
      </c>
      <c r="P42" s="25"/>
      <c r="Q42" s="25"/>
      <c r="R42" s="25">
        <f t="shared" si="8"/>
        <v>0</v>
      </c>
      <c r="W42" s="28">
        <f>IF(W7&gt;0, W7-(W$30*VALORI!$B$4)-(W$31*VALORI!$B$4)-(W$32*VALORI!$B$3)-(W$33*VALORI!$B$5),0)</f>
        <v>0</v>
      </c>
      <c r="X42" s="28">
        <f>IF(X7&gt;0, X7-(X$30*VALORI!$B$4)-(X$31*VALORI!$B$4)-(X$32*VALORI!$B$3)-(X$33*VALORI!$B$5),0)</f>
        <v>0</v>
      </c>
      <c r="Y42" s="28">
        <f>IF(Y7&gt;0, Y7-(Y$30*VALORI!$B$4)-(Y$31*VALORI!$B$4)-(Y$32*VALORI!$B$3)-(Y$33*VALORI!$B$5),0)</f>
        <v>0</v>
      </c>
      <c r="Z42" s="28">
        <f>IF(Z7&gt;0, Z7-(Z$30*VALORI!$B$4)-(Z$31*VALORI!$B$4)-(Z$32*VALORI!$B$3)-(Z$33*VALORI!$B$5),0)</f>
        <v>0</v>
      </c>
      <c r="AA42" s="28">
        <f>IF(AA7&gt;0, AA7-(AA$30*VALORI!$B$4)-(AA$31*VALORI!$B$4)-(AA$32*VALORI!$B$3)-(AA$33*VALORI!$B$5),0)</f>
        <v>0</v>
      </c>
      <c r="AB42" s="28">
        <f>IF(AB7&gt;0, AB7-(AB$30*VALORI!$B$4)-(AB$31*VALORI!$B$4)-(AB$32*VALORI!$B$3)-(AB$33*VALORI!$B$5),0)</f>
        <v>0</v>
      </c>
      <c r="AC42" s="28">
        <f>IF(AC7&gt;0, AC7-(AC$30*VALORI!$B$4)-(AC$31*VALORI!$B$4)-(AC$32*VALORI!$B$3)-(AC$33*VALORI!$B$5),0)</f>
        <v>0</v>
      </c>
      <c r="AD42" s="28">
        <f>IF(AD7&gt;0, AD7-(AD$30*VALORI!$B$4)-(AD$31*VALORI!$B$4)-(AD$32*VALORI!$B$3)-(AD$33*VALORI!$B$5),0)</f>
        <v>0</v>
      </c>
      <c r="AE42" s="28">
        <f>IF(AE7&gt;0, AE7-(AE$30*VALORI!$B$4)-(AE$31*VALORI!$B$4)-(AE$32*VALORI!$B$3)-(AE$33*VALORI!$B$5),0)</f>
        <v>0</v>
      </c>
      <c r="AF42" s="28">
        <f>IF(AF7&gt;0, AF7-(AF$30*VALORI!$B$4)-(AF$31*VALORI!$B$4)-(AF$32*VALORI!$B$3)-(AF$33*VALORI!$B$5),0)</f>
        <v>0</v>
      </c>
      <c r="AG42" s="28">
        <f>IF(AG7&gt;0, AG7-(AG$30*VALORI!$B$4)-(AG$31*VALORI!$B$4)-(AG$32*VALORI!$B$3)-(AG$33*VALORI!$B$5),0)</f>
        <v>0</v>
      </c>
      <c r="AH42" s="28">
        <f>IF(AH7&gt;0, AH7-(AH$30*VALORI!$B$4)-(AH$31*VALORI!$B$4)-(AH$32*VALORI!$B$3)-(AH$33*VALORI!$B$5),0)</f>
        <v>0</v>
      </c>
      <c r="AI42" s="28">
        <f>IF(AI7&gt;0, AI7-(AI$30*VALORI!$B$4)-(AI$31*VALORI!$B$4)-(AI$32*VALORI!$B$3)-(AI$33*VALORI!$B$5),0)</f>
        <v>0</v>
      </c>
      <c r="AJ42" s="28">
        <f>IF(AJ7&gt;0, AJ7-(AJ$30*VALORI!$B$4)-(AJ$31*VALORI!$B$4)-(AJ$32*VALORI!$B$3)-(AJ$33*VALORI!$B$5),0)</f>
        <v>0</v>
      </c>
      <c r="AK42" s="28">
        <f>IF(AK7&gt;0, AK7-(AK$30*VALORI!$B$4)-(AK$31*VALORI!$B$4)-(AK$32*VALORI!$B$3)-(AK$33*VALORI!$B$5),0)</f>
        <v>0</v>
      </c>
      <c r="AL42" s="28">
        <f>IF(AL7&gt;0, AL7-(AL$30*VALORI!$B$4)-(AL$31*VALORI!$B$4)-(AL$32*VALORI!$B$3)-(AL$33*VALORI!$B$5),0)</f>
        <v>0</v>
      </c>
      <c r="AM42" s="28">
        <f>IF(AM7&gt;0, AM7-(AM$30*VALORI!$B$4)-(AM$31*VALORI!$B$4)-(AM$32*VALORI!$B$3)-(AM$33*VALORI!$B$5),0)</f>
        <v>0</v>
      </c>
      <c r="AN42" s="28">
        <f>IF(AN7&gt;0, AN7-(AN$30*VALORI!$B$4)-(AN$31*VALORI!$B$4)-(AN$32*VALORI!$B$3)-(AN$33*VALORI!$B$5),0)</f>
        <v>0</v>
      </c>
      <c r="AO42" s="28">
        <f>IF(AO7&gt;0, AO7-(AO$30*VALORI!$B$4)-(AO$31*VALORI!$B$4)-(AO$32*VALORI!$B$3)-(AO$33*VALORI!$B$5),0)</f>
        <v>0</v>
      </c>
      <c r="AQ42" s="28">
        <f>IF(AQ7&gt;0, AQ7-(AQ$30*VALORI!$B$4)-(AQ$31*VALORI!$B$4)-(AQ$32*VALORI!$B$3)-(AQ$33*VALORI!$B$5),0)</f>
        <v>0</v>
      </c>
      <c r="AR42" s="28">
        <f>IF(AR7&gt;0, AR7-(AR$30*VALORI!$B$4)-(AR$31*VALORI!$B$4)-(AR$32*VALORI!$B$3)-(AR$33*VALORI!$B$5),0)</f>
        <v>0</v>
      </c>
      <c r="AS42" s="28">
        <f>IF(AS7&gt;0, AS7-(AS$30*VALORI!$B$4)-(AS$31*VALORI!$B$4)-(AS$32*VALORI!$B$3)-(AS$33*VALORI!$B$5),0)</f>
        <v>0</v>
      </c>
      <c r="AT42" s="28">
        <f>IF(AT7&gt;0, AT7-(AT$30*VALORI!$B$4)-(AT$31*VALORI!$B$4)-(AT$32*VALORI!$B$3)-(AT$33*VALORI!$B$5),0)</f>
        <v>0</v>
      </c>
    </row>
    <row r="43" spans="9:46" ht="15.75" x14ac:dyDescent="0.25">
      <c r="W43" s="28">
        <f>IF(W8&gt;0, W8-(W$30*VALORI!$B$4)-(W$31*VALORI!$B$4)-(W$32*VALORI!$B$3)-(W$33*VALORI!$B$5),0)</f>
        <v>0</v>
      </c>
      <c r="X43" s="28">
        <f>IF(X8&gt;0, X8-(X$30*VALORI!$B$4)-(X$31*VALORI!$B$4)-(X$32*VALORI!$B$3)-(X$33*VALORI!$B$5),0)</f>
        <v>0</v>
      </c>
      <c r="Y43" s="28">
        <f>IF(Y8&gt;0, Y8-(Y$30*VALORI!$B$4)-(Y$31*VALORI!$B$4)-(Y$32*VALORI!$B$3)-(Y$33*VALORI!$B$5),0)</f>
        <v>0</v>
      </c>
      <c r="Z43" s="28">
        <f>IF(Z8&gt;0, Z8-(Z$30*VALORI!$B$4)-(Z$31*VALORI!$B$4)-(Z$32*VALORI!$B$3)-(Z$33*VALORI!$B$5),0)</f>
        <v>0</v>
      </c>
      <c r="AA43" s="28">
        <f>IF(AA8&gt;0, AA8-(AA$30*VALORI!$B$4)-(AA$31*VALORI!$B$4)-(AA$32*VALORI!$B$3)-(AA$33*VALORI!$B$5),0)</f>
        <v>0</v>
      </c>
      <c r="AB43" s="28">
        <f>IF(AB8&gt;0, AB8-(AB$30*VALORI!$B$4)-(AB$31*VALORI!$B$4)-(AB$32*VALORI!$B$3)-(AB$33*VALORI!$B$5),0)</f>
        <v>0</v>
      </c>
      <c r="AC43" s="28">
        <f>IF(AC8&gt;0, AC8-(AC$30*VALORI!$B$4)-(AC$31*VALORI!$B$4)-(AC$32*VALORI!$B$3)-(AC$33*VALORI!$B$5),0)</f>
        <v>0</v>
      </c>
      <c r="AD43" s="28">
        <f>IF(AD8&gt;0, AD8-(AD$30*VALORI!$B$4)-(AD$31*VALORI!$B$4)-(AD$32*VALORI!$B$3)-(AD$33*VALORI!$B$5),0)</f>
        <v>0</v>
      </c>
      <c r="AE43" s="28">
        <f>IF(AE8&gt;0, AE8-(AE$30*VALORI!$B$4)-(AE$31*VALORI!$B$4)-(AE$32*VALORI!$B$3)-(AE$33*VALORI!$B$5),0)</f>
        <v>0</v>
      </c>
      <c r="AF43" s="28">
        <f>IF(AF8&gt;0, AF8-(AF$30*VALORI!$B$4)-(AF$31*VALORI!$B$4)-(AF$32*VALORI!$B$3)-(AF$33*VALORI!$B$5),0)</f>
        <v>0</v>
      </c>
      <c r="AG43" s="28">
        <f>IF(AG8&gt;0, AG8-(AG$30*VALORI!$B$4)-(AG$31*VALORI!$B$4)-(AG$32*VALORI!$B$3)-(AG$33*VALORI!$B$5),0)</f>
        <v>0</v>
      </c>
      <c r="AH43" s="28">
        <f>IF(AH8&gt;0, AH8-(AH$30*VALORI!$B$4)-(AH$31*VALORI!$B$4)-(AH$32*VALORI!$B$3)-(AH$33*VALORI!$B$5),0)</f>
        <v>0</v>
      </c>
      <c r="AI43" s="28">
        <f>IF(AI8&gt;0, AI8-(AI$30*VALORI!$B$4)-(AI$31*VALORI!$B$4)-(AI$32*VALORI!$B$3)-(AI$33*VALORI!$B$5),0)</f>
        <v>0</v>
      </c>
      <c r="AJ43" s="28">
        <f>IF(AJ8&gt;0, AJ8-(AJ$30*VALORI!$B$4)-(AJ$31*VALORI!$B$4)-(AJ$32*VALORI!$B$3)-(AJ$33*VALORI!$B$5),0)</f>
        <v>0</v>
      </c>
      <c r="AK43" s="28">
        <f>IF(AK8&gt;0, AK8-(AK$30*VALORI!$B$4)-(AK$31*VALORI!$B$4)-(AK$32*VALORI!$B$3)-(AK$33*VALORI!$B$5),0)</f>
        <v>0</v>
      </c>
      <c r="AL43" s="28">
        <f>IF(AL8&gt;0, AL8-(AL$30*VALORI!$B$4)-(AL$31*VALORI!$B$4)-(AL$32*VALORI!$B$3)-(AL$33*VALORI!$B$5),0)</f>
        <v>0</v>
      </c>
      <c r="AM43" s="28">
        <f>IF(AM8&gt;0, AM8-(AM$30*VALORI!$B$4)-(AM$31*VALORI!$B$4)-(AM$32*VALORI!$B$3)-(AM$33*VALORI!$B$5),0)</f>
        <v>0</v>
      </c>
      <c r="AN43" s="28">
        <f>IF(AN8&gt;0, AN8-(AN$30*VALORI!$B$4)-(AN$31*VALORI!$B$4)-(AN$32*VALORI!$B$3)-(AN$33*VALORI!$B$5),0)</f>
        <v>0</v>
      </c>
      <c r="AO43" s="28">
        <f>IF(AO8&gt;0, AO8-(AO$30*VALORI!$B$4)-(AO$31*VALORI!$B$4)-(AO$32*VALORI!$B$3)-(AO$33*VALORI!$B$5),0)</f>
        <v>0</v>
      </c>
      <c r="AQ43" s="28">
        <f>IF(AQ8&gt;0, AQ8-(AQ$30*VALORI!$B$4)-(AQ$31*VALORI!$B$4)-(AQ$32*VALORI!$B$3)-(AQ$33*VALORI!$B$5),0)</f>
        <v>0</v>
      </c>
      <c r="AR43" s="28">
        <f>IF(AR8&gt;0, AR8-(AR$30*VALORI!$B$4)-(AR$31*VALORI!$B$4)-(AR$32*VALORI!$B$3)-(AR$33*VALORI!$B$5),0)</f>
        <v>0</v>
      </c>
      <c r="AS43" s="28">
        <f>IF(AS8&gt;0, AS8-(AS$30*VALORI!$B$4)-(AS$31*VALORI!$B$4)-(AS$32*VALORI!$B$3)-(AS$33*VALORI!$B$5),0)</f>
        <v>0</v>
      </c>
      <c r="AT43" s="28">
        <f>IF(AT8&gt;0, AT8-(AT$30*VALORI!$B$4)-(AT$31*VALORI!$B$4)-(AT$32*VALORI!$B$3)-(AT$33*VALORI!$B$5),0)</f>
        <v>0</v>
      </c>
    </row>
    <row r="44" spans="9:46" ht="15.75" x14ac:dyDescent="0.25">
      <c r="W44" s="28">
        <f>IF(W9&gt;0, W9-(W$30*VALORI!$B$4)-(W$31*VALORI!$B$4)-(W$32*VALORI!$B$3)-(W$33*VALORI!$B$5),0)</f>
        <v>0</v>
      </c>
      <c r="X44" s="28">
        <f>IF(X9&gt;0, X9-(X$30*VALORI!$B$4)-(X$31*VALORI!$B$4)-(X$32*VALORI!$B$3)-(X$33*VALORI!$B$5),0)</f>
        <v>0</v>
      </c>
      <c r="Y44" s="28">
        <f>IF(Y9&gt;0, Y9-(Y$30*VALORI!$B$4)-(Y$31*VALORI!$B$4)-(Y$32*VALORI!$B$3)-(Y$33*VALORI!$B$5),0)</f>
        <v>0</v>
      </c>
      <c r="Z44" s="28">
        <f>IF(Z9&gt;0, Z9-(Z$30*VALORI!$B$4)-(Z$31*VALORI!$B$4)-(Z$32*VALORI!$B$3)-(Z$33*VALORI!$B$5),0)</f>
        <v>0</v>
      </c>
      <c r="AA44" s="28">
        <f>IF(AA9&gt;0, AA9-(AA$30*VALORI!$B$4)-(AA$31*VALORI!$B$4)-(AA$32*VALORI!$B$3)-(AA$33*VALORI!$B$5),0)</f>
        <v>0</v>
      </c>
      <c r="AB44" s="28">
        <f>IF(AB9&gt;0, AB9-(AB$30*VALORI!$B$4)-(AB$31*VALORI!$B$4)-(AB$32*VALORI!$B$3)-(AB$33*VALORI!$B$5),0)</f>
        <v>0</v>
      </c>
      <c r="AC44" s="28">
        <f>IF(AC9&gt;0, AC9-(AC$30*VALORI!$B$4)-(AC$31*VALORI!$B$4)-(AC$32*VALORI!$B$3)-(AC$33*VALORI!$B$5),0)</f>
        <v>0</v>
      </c>
      <c r="AD44" s="28">
        <f>IF(AD9&gt;0, AD9-(AD$30*VALORI!$B$4)-(AD$31*VALORI!$B$4)-(AD$32*VALORI!$B$3)-(AD$33*VALORI!$B$5),0)</f>
        <v>0</v>
      </c>
      <c r="AE44" s="28">
        <f>IF(AE9&gt;0, AE9-(AE$30*VALORI!$B$4)-(AE$31*VALORI!$B$4)-(AE$32*VALORI!$B$3)-(AE$33*VALORI!$B$5),0)</f>
        <v>0</v>
      </c>
      <c r="AF44" s="28">
        <f>IF(AF9&gt;0, AF9-(AF$30*VALORI!$B$4)-(AF$31*VALORI!$B$4)-(AF$32*VALORI!$B$3)-(AF$33*VALORI!$B$5),0)</f>
        <v>0</v>
      </c>
      <c r="AG44" s="28">
        <f>IF(AG9&gt;0, AG9-(AG$30*VALORI!$B$4)-(AG$31*VALORI!$B$4)-(AG$32*VALORI!$B$3)-(AG$33*VALORI!$B$5),0)</f>
        <v>0</v>
      </c>
      <c r="AH44" s="28">
        <f>IF(AH9&gt;0, AH9-(AH$30*VALORI!$B$4)-(AH$31*VALORI!$B$4)-(AH$32*VALORI!$B$3)-(AH$33*VALORI!$B$5),0)</f>
        <v>0</v>
      </c>
      <c r="AI44" s="28">
        <f>IF(AI9&gt;0, AI9-(AI$30*VALORI!$B$4)-(AI$31*VALORI!$B$4)-(AI$32*VALORI!$B$3)-(AI$33*VALORI!$B$5),0)</f>
        <v>0</v>
      </c>
      <c r="AJ44" s="28">
        <f>IF(AJ9&gt;0, AJ9-(AJ$30*VALORI!$B$4)-(AJ$31*VALORI!$B$4)-(AJ$32*VALORI!$B$3)-(AJ$33*VALORI!$B$5),0)</f>
        <v>0</v>
      </c>
      <c r="AK44" s="28">
        <f>IF(AK9&gt;0, AK9-(AK$30*VALORI!$B$4)-(AK$31*VALORI!$B$4)-(AK$32*VALORI!$B$3)-(AK$33*VALORI!$B$5),0)</f>
        <v>0</v>
      </c>
      <c r="AL44" s="28">
        <f>IF(AL9&gt;0, AL9-(AL$30*VALORI!$B$4)-(AL$31*VALORI!$B$4)-(AL$32*VALORI!$B$3)-(AL$33*VALORI!$B$5),0)</f>
        <v>0</v>
      </c>
      <c r="AM44" s="28">
        <f>IF(AM9&gt;0, AM9-(AM$30*VALORI!$B$4)-(AM$31*VALORI!$B$4)-(AM$32*VALORI!$B$3)-(AM$33*VALORI!$B$5),0)</f>
        <v>0</v>
      </c>
      <c r="AN44" s="28">
        <f>IF(AN9&gt;0, AN9-(AN$30*VALORI!$B$4)-(AN$31*VALORI!$B$4)-(AN$32*VALORI!$B$3)-(AN$33*VALORI!$B$5),0)</f>
        <v>0</v>
      </c>
      <c r="AO44" s="28">
        <f>IF(AO9&gt;0, AO9-(AO$30*VALORI!$B$4)-(AO$31*VALORI!$B$4)-(AO$32*VALORI!$B$3)-(AO$33*VALORI!$B$5),0)</f>
        <v>0</v>
      </c>
      <c r="AQ44" s="28">
        <f>IF(AQ9&gt;0, AQ9-(AQ$30*VALORI!$B$4)-(AQ$31*VALORI!$B$4)-(AQ$32*VALORI!$B$3)-(AQ$33*VALORI!$B$5),0)</f>
        <v>0</v>
      </c>
      <c r="AR44" s="28">
        <f>IF(AR9&gt;0, AR9-(AR$30*VALORI!$B$4)-(AR$31*VALORI!$B$4)-(AR$32*VALORI!$B$3)-(AR$33*VALORI!$B$5),0)</f>
        <v>0</v>
      </c>
      <c r="AS44" s="28">
        <f>IF(AS9&gt;0, AS9-(AS$30*VALORI!$B$4)-(AS$31*VALORI!$B$4)-(AS$32*VALORI!$B$3)-(AS$33*VALORI!$B$5),0)</f>
        <v>0</v>
      </c>
      <c r="AT44" s="28">
        <f>IF(AT9&gt;0, AT9-(AT$30*VALORI!$B$4)-(AT$31*VALORI!$B$4)-(AT$32*VALORI!$B$3)-(AT$33*VALORI!$B$5),0)</f>
        <v>0</v>
      </c>
    </row>
    <row r="45" spans="9:46" ht="15.75" x14ac:dyDescent="0.25">
      <c r="W45" s="28">
        <f>IF(W10&gt;0, W10-(W$30*VALORI!$B$4)-(W$31*VALORI!$B$4)-(W$32*VALORI!$B$3)-(W$33*VALORI!$B$5),0)</f>
        <v>0</v>
      </c>
      <c r="X45" s="28">
        <f>IF(X10&gt;0, X10-(X$30*VALORI!$B$4)-(X$31*VALORI!$B$4)-(X$32*VALORI!$B$3)-(X$33*VALORI!$B$5),0)</f>
        <v>0</v>
      </c>
      <c r="Y45" s="28">
        <f>IF(Y10&gt;0, Y10-(Y$30*VALORI!$B$4)-(Y$31*VALORI!$B$4)-(Y$32*VALORI!$B$3)-(Y$33*VALORI!$B$5),0)</f>
        <v>0</v>
      </c>
      <c r="Z45" s="28">
        <f>IF(Z10&gt;0, Z10-(Z$30*VALORI!$B$4)-(Z$31*VALORI!$B$4)-(Z$32*VALORI!$B$3)-(Z$33*VALORI!$B$5),0)</f>
        <v>0</v>
      </c>
      <c r="AA45" s="28">
        <f>IF(AA10&gt;0, AA10-(AA$30*VALORI!$B$4)-(AA$31*VALORI!$B$4)-(AA$32*VALORI!$B$3)-(AA$33*VALORI!$B$5),0)</f>
        <v>0</v>
      </c>
      <c r="AB45" s="28">
        <f>IF(AB10&gt;0, AB10-(AB$30*VALORI!$B$4)-(AB$31*VALORI!$B$4)-(AB$32*VALORI!$B$3)-(AB$33*VALORI!$B$5),0)</f>
        <v>0</v>
      </c>
      <c r="AC45" s="28">
        <f>IF(AC10&gt;0, AC10-(AC$30*VALORI!$B$4)-(AC$31*VALORI!$B$4)-(AC$32*VALORI!$B$3)-(AC$33*VALORI!$B$5),0)</f>
        <v>0</v>
      </c>
      <c r="AD45" s="28">
        <f>IF(AD10&gt;0, AD10-(AD$30*VALORI!$B$4)-(AD$31*VALORI!$B$4)-(AD$32*VALORI!$B$3)-(AD$33*VALORI!$B$5),0)</f>
        <v>0</v>
      </c>
      <c r="AE45" s="28">
        <f>IF(AE10&gt;0, AE10-(AE$30*VALORI!$B$4)-(AE$31*VALORI!$B$4)-(AE$32*VALORI!$B$3)-(AE$33*VALORI!$B$5),0)</f>
        <v>0</v>
      </c>
      <c r="AF45" s="28">
        <f>IF(AF10&gt;0, AF10-(AF$30*VALORI!$B$4)-(AF$31*VALORI!$B$4)-(AF$32*VALORI!$B$3)-(AF$33*VALORI!$B$5),0)</f>
        <v>0</v>
      </c>
      <c r="AG45" s="28">
        <f>IF(AG10&gt;0, AG10-(AG$30*VALORI!$B$4)-(AG$31*VALORI!$B$4)-(AG$32*VALORI!$B$3)-(AG$33*VALORI!$B$5),0)</f>
        <v>0</v>
      </c>
      <c r="AH45" s="28">
        <f>IF(AH10&gt;0, AH10-(AH$30*VALORI!$B$4)-(AH$31*VALORI!$B$4)-(AH$32*VALORI!$B$3)-(AH$33*VALORI!$B$5),0)</f>
        <v>0</v>
      </c>
      <c r="AI45" s="28">
        <f>IF(AI10&gt;0, AI10-(AI$30*VALORI!$B$4)-(AI$31*VALORI!$B$4)-(AI$32*VALORI!$B$3)-(AI$33*VALORI!$B$5),0)</f>
        <v>0</v>
      </c>
      <c r="AJ45" s="28">
        <f>IF(AJ10&gt;0, AJ10-(AJ$30*VALORI!$B$4)-(AJ$31*VALORI!$B$4)-(AJ$32*VALORI!$B$3)-(AJ$33*VALORI!$B$5),0)</f>
        <v>0</v>
      </c>
      <c r="AK45" s="28">
        <f>IF(AK10&gt;0, AK10-(AK$30*VALORI!$B$4)-(AK$31*VALORI!$B$4)-(AK$32*VALORI!$B$3)-(AK$33*VALORI!$B$5),0)</f>
        <v>0</v>
      </c>
      <c r="AL45" s="28">
        <f>IF(AL10&gt;0, AL10-(AL$30*VALORI!$B$4)-(AL$31*VALORI!$B$4)-(AL$32*VALORI!$B$3)-(AL$33*VALORI!$B$5),0)</f>
        <v>0</v>
      </c>
      <c r="AM45" s="28">
        <f>IF(AM10&gt;0, AM10-(AM$30*VALORI!$B$4)-(AM$31*VALORI!$B$4)-(AM$32*VALORI!$B$3)-(AM$33*VALORI!$B$5),0)</f>
        <v>0</v>
      </c>
      <c r="AN45" s="28">
        <f>IF(AN10&gt;0, AN10-(AN$30*VALORI!$B$4)-(AN$31*VALORI!$B$4)-(AN$32*VALORI!$B$3)-(AN$33*VALORI!$B$5),0)</f>
        <v>0</v>
      </c>
      <c r="AO45" s="28">
        <f>IF(AO10&gt;0, AO10-(AO$30*VALORI!$B$4)-(AO$31*VALORI!$B$4)-(AO$32*VALORI!$B$3)-(AO$33*VALORI!$B$5),0)</f>
        <v>0</v>
      </c>
      <c r="AQ45" s="28">
        <f>IF(AQ10&gt;0, AQ10-(AQ$30*VALORI!$B$4)-(AQ$31*VALORI!$B$4)-(AQ$32*VALORI!$B$3)-(AQ$33*VALORI!$B$5),0)</f>
        <v>0</v>
      </c>
      <c r="AR45" s="28">
        <f>IF(AR10&gt;0, AR10-(AR$30*VALORI!$B$4)-(AR$31*VALORI!$B$4)-(AR$32*VALORI!$B$3)-(AR$33*VALORI!$B$5),0)</f>
        <v>0</v>
      </c>
      <c r="AS45" s="28">
        <f>IF(AS10&gt;0, AS10-(AS$30*VALORI!$B$4)-(AS$31*VALORI!$B$4)-(AS$32*VALORI!$B$3)-(AS$33*VALORI!$B$5),0)</f>
        <v>0</v>
      </c>
      <c r="AT45" s="28">
        <f>IF(AT10&gt;0, AT10-(AT$30*VALORI!$B$4)-(AT$31*VALORI!$B$4)-(AT$32*VALORI!$B$3)-(AT$33*VALORI!$B$5),0)</f>
        <v>0</v>
      </c>
    </row>
    <row r="46" spans="9:46" ht="15.75" x14ac:dyDescent="0.25">
      <c r="W46" s="28">
        <f>IF(W11&gt;0, W11-(W$30*VALORI!$B$4)-(W$31*VALORI!$B$4)-(W$32*VALORI!$B$3)-(W$33*VALORI!$B$5),0)</f>
        <v>0</v>
      </c>
      <c r="X46" s="28">
        <f>IF(X11&gt;0, X11-(X$30*VALORI!$B$4)-(X$31*VALORI!$B$4)-(X$32*VALORI!$B$3)-(X$33*VALORI!$B$5),0)</f>
        <v>0</v>
      </c>
      <c r="Y46" s="28">
        <f>IF(Y11&gt;0, Y11-(Y$30*VALORI!$B$4)-(Y$31*VALORI!$B$4)-(Y$32*VALORI!$B$3)-(Y$33*VALORI!$B$5),0)</f>
        <v>0</v>
      </c>
      <c r="Z46" s="28">
        <f>IF(Z11&gt;0, Z11-(Z$30*VALORI!$B$4)-(Z$31*VALORI!$B$4)-(Z$32*VALORI!$B$3)-(Z$33*VALORI!$B$5),0)</f>
        <v>0</v>
      </c>
      <c r="AA46" s="28">
        <f>IF(AA11&gt;0, AA11-(AA$30*VALORI!$B$4)-(AA$31*VALORI!$B$4)-(AA$32*VALORI!$B$3)-(AA$33*VALORI!$B$5),0)</f>
        <v>0</v>
      </c>
      <c r="AB46" s="28">
        <f>IF(AB11&gt;0, AB11-(AB$30*VALORI!$B$4)-(AB$31*VALORI!$B$4)-(AB$32*VALORI!$B$3)-(AB$33*VALORI!$B$5),0)</f>
        <v>0</v>
      </c>
      <c r="AC46" s="28">
        <f>IF(AC11&gt;0, AC11-(AC$30*VALORI!$B$4)-(AC$31*VALORI!$B$4)-(AC$32*VALORI!$B$3)-(AC$33*VALORI!$B$5),0)</f>
        <v>0</v>
      </c>
      <c r="AD46" s="28">
        <f>IF(AD11&gt;0, AD11-(AD$30*VALORI!$B$4)-(AD$31*VALORI!$B$4)-(AD$32*VALORI!$B$3)-(AD$33*VALORI!$B$5),0)</f>
        <v>0</v>
      </c>
      <c r="AE46" s="28">
        <f>IF(AE11&gt;0, AE11-(AE$30*VALORI!$B$4)-(AE$31*VALORI!$B$4)-(AE$32*VALORI!$B$3)-(AE$33*VALORI!$B$5),0)</f>
        <v>0</v>
      </c>
      <c r="AF46" s="28">
        <f>IF(AF11&gt;0, AF11-(AF$30*VALORI!$B$4)-(AF$31*VALORI!$B$4)-(AF$32*VALORI!$B$3)-(AF$33*VALORI!$B$5),0)</f>
        <v>0</v>
      </c>
      <c r="AG46" s="28">
        <f>IF(AG11&gt;0, AG11-(AG$30*VALORI!$B$4)-(AG$31*VALORI!$B$4)-(AG$32*VALORI!$B$3)-(AG$33*VALORI!$B$5),0)</f>
        <v>0</v>
      </c>
      <c r="AH46" s="28">
        <f>IF(AH11&gt;0, AH11-(AH$30*VALORI!$B$4)-(AH$31*VALORI!$B$4)-(AH$32*VALORI!$B$3)-(AH$33*VALORI!$B$5),0)</f>
        <v>0</v>
      </c>
      <c r="AI46" s="28">
        <f>IF(AI11&gt;0, AI11-(AI$30*VALORI!$B$4)-(AI$31*VALORI!$B$4)-(AI$32*VALORI!$B$3)-(AI$33*VALORI!$B$5),0)</f>
        <v>0</v>
      </c>
      <c r="AJ46" s="28">
        <f>IF(AJ11&gt;0, AJ11-(AJ$30*VALORI!$B$4)-(AJ$31*VALORI!$B$4)-(AJ$32*VALORI!$B$3)-(AJ$33*VALORI!$B$5),0)</f>
        <v>0</v>
      </c>
      <c r="AK46" s="28">
        <f>IF(AK11&gt;0, AK11-(AK$30*VALORI!$B$4)-(AK$31*VALORI!$B$4)-(AK$32*VALORI!$B$3)-(AK$33*VALORI!$B$5),0)</f>
        <v>0</v>
      </c>
      <c r="AL46" s="28">
        <f>IF(AL11&gt;0, AL11-(AL$30*VALORI!$B$4)-(AL$31*VALORI!$B$4)-(AL$32*VALORI!$B$3)-(AL$33*VALORI!$B$5),0)</f>
        <v>0</v>
      </c>
      <c r="AM46" s="28">
        <f>IF(AM11&gt;0, AM11-(AM$30*VALORI!$B$4)-(AM$31*VALORI!$B$4)-(AM$32*VALORI!$B$3)-(AM$33*VALORI!$B$5),0)</f>
        <v>0</v>
      </c>
      <c r="AN46" s="28">
        <f>IF(AN11&gt;0, AN11-(AN$30*VALORI!$B$4)-(AN$31*VALORI!$B$4)-(AN$32*VALORI!$B$3)-(AN$33*VALORI!$B$5),0)</f>
        <v>0</v>
      </c>
      <c r="AO46" s="28">
        <f>IF(AO11&gt;0, AO11-(AO$30*VALORI!$B$4)-(AO$31*VALORI!$B$4)-(AO$32*VALORI!$B$3)-(AO$33*VALORI!$B$5),0)</f>
        <v>0</v>
      </c>
      <c r="AQ46" s="28">
        <f>IF(AQ11&gt;0, AQ11-(AQ$30*VALORI!$B$4)-(AQ$31*VALORI!$B$4)-(AQ$32*VALORI!$B$3)-(AQ$33*VALORI!$B$5),0)</f>
        <v>0</v>
      </c>
      <c r="AR46" s="28">
        <f>IF(AR11&gt;0, AR11-(AR$30*VALORI!$B$4)-(AR$31*VALORI!$B$4)-(AR$32*VALORI!$B$3)-(AR$33*VALORI!$B$5),0)</f>
        <v>0</v>
      </c>
      <c r="AS46" s="28">
        <f>IF(AS11&gt;0, AS11-(AS$30*VALORI!$B$4)-(AS$31*VALORI!$B$4)-(AS$32*VALORI!$B$3)-(AS$33*VALORI!$B$5),0)</f>
        <v>0</v>
      </c>
      <c r="AT46" s="28">
        <f>IF(AT11&gt;0, AT11-(AT$30*VALORI!$B$4)-(AT$31*VALORI!$B$4)-(AT$32*VALORI!$B$3)-(AT$33*VALORI!$B$5),0)</f>
        <v>0</v>
      </c>
    </row>
    <row r="47" spans="9:46" ht="15.75" x14ac:dyDescent="0.25">
      <c r="W47" s="28">
        <f>IF(W12&gt;0, W12-(W$30*VALORI!$B$4)-(W$31*VALORI!$B$4)-(W$32*VALORI!$B$3)-(W$33*VALORI!$B$5),0)</f>
        <v>0</v>
      </c>
      <c r="X47" s="28">
        <f>IF(X12&gt;0, X12-(X$30*VALORI!$B$4)-(X$31*VALORI!$B$4)-(X$32*VALORI!$B$3)-(X$33*VALORI!$B$5),0)</f>
        <v>0</v>
      </c>
      <c r="Y47" s="28">
        <f>IF(Y12&gt;0, Y12-(Y$30*VALORI!$B$4)-(Y$31*VALORI!$B$4)-(Y$32*VALORI!$B$3)-(Y$33*VALORI!$B$5),0)</f>
        <v>0</v>
      </c>
      <c r="Z47" s="28">
        <f>IF(Z12&gt;0, Z12-(Z$30*VALORI!$B$4)-(Z$31*VALORI!$B$4)-(Z$32*VALORI!$B$3)-(Z$33*VALORI!$B$5),0)</f>
        <v>0</v>
      </c>
      <c r="AA47" s="28">
        <f>IF(AA12&gt;0, AA12-(AA$30*VALORI!$B$4)-(AA$31*VALORI!$B$4)-(AA$32*VALORI!$B$3)-(AA$33*VALORI!$B$5),0)</f>
        <v>0</v>
      </c>
      <c r="AB47" s="28">
        <f>IF(AB12&gt;0, AB12-(AB$30*VALORI!$B$4)-(AB$31*VALORI!$B$4)-(AB$32*VALORI!$B$3)-(AB$33*VALORI!$B$5),0)</f>
        <v>0</v>
      </c>
      <c r="AC47" s="28">
        <f>IF(AC12&gt;0, AC12-(AC$30*VALORI!$B$4)-(AC$31*VALORI!$B$4)-(AC$32*VALORI!$B$3)-(AC$33*VALORI!$B$5),0)</f>
        <v>0</v>
      </c>
      <c r="AD47" s="28">
        <f>IF(AD12&gt;0, AD12-(AD$30*VALORI!$B$4)-(AD$31*VALORI!$B$4)-(AD$32*VALORI!$B$3)-(AD$33*VALORI!$B$5),0)</f>
        <v>0</v>
      </c>
      <c r="AE47" s="28">
        <f>IF(AE12&gt;0, AE12-(AE$30*VALORI!$B$4)-(AE$31*VALORI!$B$4)-(AE$32*VALORI!$B$3)-(AE$33*VALORI!$B$5),0)</f>
        <v>0</v>
      </c>
      <c r="AF47" s="28">
        <f>IF(AF12&gt;0, AF12-(AF$30*VALORI!$B$4)-(AF$31*VALORI!$B$4)-(AF$32*VALORI!$B$3)-(AF$33*VALORI!$B$5),0)</f>
        <v>0</v>
      </c>
      <c r="AG47" s="28">
        <f>IF(AG12&gt;0, AG12-(AG$30*VALORI!$B$4)-(AG$31*VALORI!$B$4)-(AG$32*VALORI!$B$3)-(AG$33*VALORI!$B$5),0)</f>
        <v>0</v>
      </c>
      <c r="AH47" s="28">
        <f>IF(AH12&gt;0, AH12-(AH$30*VALORI!$B$4)-(AH$31*VALORI!$B$4)-(AH$32*VALORI!$B$3)-(AH$33*VALORI!$B$5),0)</f>
        <v>0</v>
      </c>
      <c r="AI47" s="28">
        <f>IF(AI12&gt;0, AI12-(AI$30*VALORI!$B$4)-(AI$31*VALORI!$B$4)-(AI$32*VALORI!$B$3)-(AI$33*VALORI!$B$5),0)</f>
        <v>0</v>
      </c>
      <c r="AJ47" s="28">
        <f>IF(AJ12&gt;0, AJ12-(AJ$30*VALORI!$B$4)-(AJ$31*VALORI!$B$4)-(AJ$32*VALORI!$B$3)-(AJ$33*VALORI!$B$5),0)</f>
        <v>0</v>
      </c>
      <c r="AK47" s="28">
        <f>IF(AK12&gt;0, AK12-(AK$30*VALORI!$B$4)-(AK$31*VALORI!$B$4)-(AK$32*VALORI!$B$3)-(AK$33*VALORI!$B$5),0)</f>
        <v>0</v>
      </c>
      <c r="AL47" s="28">
        <f>IF(AL12&gt;0, AL12-(AL$30*VALORI!$B$4)-(AL$31*VALORI!$B$4)-(AL$32*VALORI!$B$3)-(AL$33*VALORI!$B$5),0)</f>
        <v>0</v>
      </c>
      <c r="AM47" s="28">
        <f>IF(AM12&gt;0, AM12-(AM$30*VALORI!$B$4)-(AM$31*VALORI!$B$4)-(AM$32*VALORI!$B$3)-(AM$33*VALORI!$B$5),0)</f>
        <v>0</v>
      </c>
      <c r="AN47" s="28">
        <f>IF(AN12&gt;0, AN12-(AN$30*VALORI!$B$4)-(AN$31*VALORI!$B$4)-(AN$32*VALORI!$B$3)-(AN$33*VALORI!$B$5),0)</f>
        <v>0</v>
      </c>
      <c r="AO47" s="28">
        <f>IF(AO12&gt;0, AO12-(AO$30*VALORI!$B$4)-(AO$31*VALORI!$B$4)-(AO$32*VALORI!$B$3)-(AO$33*VALORI!$B$5),0)</f>
        <v>0</v>
      </c>
      <c r="AQ47" s="28">
        <f>IF(AQ12&gt;0, AQ12-(AQ$30*VALORI!$B$4)-(AQ$31*VALORI!$B$4)-(AQ$32*VALORI!$B$3)-(AQ$33*VALORI!$B$5),0)</f>
        <v>0</v>
      </c>
      <c r="AR47" s="28">
        <f>IF(AR12&gt;0, AR12-(AR$30*VALORI!$B$4)-(AR$31*VALORI!$B$4)-(AR$32*VALORI!$B$3)-(AR$33*VALORI!$B$5),0)</f>
        <v>0</v>
      </c>
      <c r="AS47" s="28">
        <f>IF(AS12&gt;0, AS12-(AS$30*VALORI!$B$4)-(AS$31*VALORI!$B$4)-(AS$32*VALORI!$B$3)-(AS$33*VALORI!$B$5),0)</f>
        <v>0</v>
      </c>
      <c r="AT47" s="28">
        <f>IF(AT12&gt;0, AT12-(AT$30*VALORI!$B$4)-(AT$31*VALORI!$B$4)-(AT$32*VALORI!$B$3)-(AT$33*VALORI!$B$5),0)</f>
        <v>0</v>
      </c>
    </row>
    <row r="48" spans="9:46" ht="15.75" x14ac:dyDescent="0.25">
      <c r="W48" s="28">
        <f>IF(W13&gt;0, W13-(W$30*VALORI!$B$4)-(W$31*VALORI!$B$4)-(W$32*VALORI!$B$3)-(W$33*VALORI!$B$5),0)</f>
        <v>0</v>
      </c>
      <c r="X48" s="28">
        <f>IF(X13&gt;0, X13-(X$30*VALORI!$B$4)-(X$31*VALORI!$B$4)-(X$32*VALORI!$B$3)-(X$33*VALORI!$B$5),0)</f>
        <v>0</v>
      </c>
      <c r="Y48" s="28">
        <f>IF(Y13&gt;0, Y13-(Y$30*VALORI!$B$4)-(Y$31*VALORI!$B$4)-(Y$32*VALORI!$B$3)-(Y$33*VALORI!$B$5),0)</f>
        <v>0</v>
      </c>
      <c r="Z48" s="28">
        <f>IF(Z13&gt;0, Z13-(Z$30*VALORI!$B$4)-(Z$31*VALORI!$B$4)-(Z$32*VALORI!$B$3)-(Z$33*VALORI!$B$5),0)</f>
        <v>0</v>
      </c>
      <c r="AA48" s="28">
        <f>IF(AA13&gt;0, AA13-(AA$30*VALORI!$B$4)-(AA$31*VALORI!$B$4)-(AA$32*VALORI!$B$3)-(AA$33*VALORI!$B$5),0)</f>
        <v>0</v>
      </c>
      <c r="AB48" s="28">
        <f>IF(AB13&gt;0, AB13-(AB$30*VALORI!$B$4)-(AB$31*VALORI!$B$4)-(AB$32*VALORI!$B$3)-(AB$33*VALORI!$B$5),0)</f>
        <v>0</v>
      </c>
      <c r="AC48" s="28">
        <f>IF(AC13&gt;0, AC13-(AC$30*VALORI!$B$4)-(AC$31*VALORI!$B$4)-(AC$32*VALORI!$B$3)-(AC$33*VALORI!$B$5),0)</f>
        <v>0</v>
      </c>
      <c r="AD48" s="28">
        <f>IF(AD13&gt;0, AD13-(AD$30*VALORI!$B$4)-(AD$31*VALORI!$B$4)-(AD$32*VALORI!$B$3)-(AD$33*VALORI!$B$5),0)</f>
        <v>0</v>
      </c>
      <c r="AE48" s="28">
        <f>IF(AE13&gt;0, AE13-(AE$30*VALORI!$B$4)-(AE$31*VALORI!$B$4)-(AE$32*VALORI!$B$3)-(AE$33*VALORI!$B$5),0)</f>
        <v>0</v>
      </c>
      <c r="AF48" s="28">
        <f>IF(AF13&gt;0, AF13-(AF$30*VALORI!$B$4)-(AF$31*VALORI!$B$4)-(AF$32*VALORI!$B$3)-(AF$33*VALORI!$B$5),0)</f>
        <v>0</v>
      </c>
      <c r="AG48" s="28">
        <f>IF(AG13&gt;0, AG13-(AG$30*VALORI!$B$4)-(AG$31*VALORI!$B$4)-(AG$32*VALORI!$B$3)-(AG$33*VALORI!$B$5),0)</f>
        <v>0</v>
      </c>
      <c r="AH48" s="28">
        <f>IF(AH13&gt;0, AH13-(AH$30*VALORI!$B$4)-(AH$31*VALORI!$B$4)-(AH$32*VALORI!$B$3)-(AH$33*VALORI!$B$5),0)</f>
        <v>0</v>
      </c>
      <c r="AI48" s="28">
        <f>IF(AI13&gt;0, AI13-(AI$30*VALORI!$B$4)-(AI$31*VALORI!$B$4)-(AI$32*VALORI!$B$3)-(AI$33*VALORI!$B$5),0)</f>
        <v>0</v>
      </c>
      <c r="AJ48" s="28">
        <f>IF(AJ13&gt;0, AJ13-(AJ$30*VALORI!$B$4)-(AJ$31*VALORI!$B$4)-(AJ$32*VALORI!$B$3)-(AJ$33*VALORI!$B$5),0)</f>
        <v>0</v>
      </c>
      <c r="AK48" s="28">
        <f>IF(AK13&gt;0, AK13-(AK$30*VALORI!$B$4)-(AK$31*VALORI!$B$4)-(AK$32*VALORI!$B$3)-(AK$33*VALORI!$B$5),0)</f>
        <v>0</v>
      </c>
      <c r="AL48" s="28">
        <f>IF(AL13&gt;0, AL13-(AL$30*VALORI!$B$4)-(AL$31*VALORI!$B$4)-(AL$32*VALORI!$B$3)-(AL$33*VALORI!$B$5),0)</f>
        <v>0</v>
      </c>
      <c r="AM48" s="28">
        <f>IF(AM13&gt;0, AM13-(AM$30*VALORI!$B$4)-(AM$31*VALORI!$B$4)-(AM$32*VALORI!$B$3)-(AM$33*VALORI!$B$5),0)</f>
        <v>0</v>
      </c>
      <c r="AN48" s="28">
        <f>IF(AN13&gt;0, AN13-(AN$30*VALORI!$B$4)-(AN$31*VALORI!$B$4)-(AN$32*VALORI!$B$3)-(AN$33*VALORI!$B$5),0)</f>
        <v>0</v>
      </c>
      <c r="AO48" s="28">
        <f>IF(AO13&gt;0, AO13-(AO$30*VALORI!$B$4)-(AO$31*VALORI!$B$4)-(AO$32*VALORI!$B$3)-(AO$33*VALORI!$B$5),0)</f>
        <v>0</v>
      </c>
      <c r="AQ48" s="28">
        <f>IF(AQ13&gt;0, AQ13-(AQ$30*VALORI!$B$4)-(AQ$31*VALORI!$B$4)-(AQ$32*VALORI!$B$3)-(AQ$33*VALORI!$B$5),0)</f>
        <v>0</v>
      </c>
      <c r="AR48" s="28">
        <f>IF(AR13&gt;0, AR13-(AR$30*VALORI!$B$4)-(AR$31*VALORI!$B$4)-(AR$32*VALORI!$B$3)-(AR$33*VALORI!$B$5),0)</f>
        <v>0</v>
      </c>
      <c r="AS48" s="28">
        <f>IF(AS13&gt;0, AS13-(AS$30*VALORI!$B$4)-(AS$31*VALORI!$B$4)-(AS$32*VALORI!$B$3)-(AS$33*VALORI!$B$5),0)</f>
        <v>0</v>
      </c>
      <c r="AT48" s="28">
        <f>IF(AT13&gt;0, AT13-(AT$30*VALORI!$B$4)-(AT$31*VALORI!$B$4)-(AT$32*VALORI!$B$3)-(AT$33*VALORI!$B$5),0)</f>
        <v>0</v>
      </c>
    </row>
    <row r="49" spans="23:46" ht="15.75" x14ac:dyDescent="0.25">
      <c r="W49" s="28">
        <f>IF(W14&gt;0, W14-(W$30*VALORI!$B$4)-(W$31*VALORI!$B$4)-(W$32*VALORI!$B$3)-(W$33*VALORI!$B$5),0)</f>
        <v>0</v>
      </c>
      <c r="X49" s="28">
        <f>IF(X14&gt;0, X14-(X$30*VALORI!$B$4)-(X$31*VALORI!$B$4)-(X$32*VALORI!$B$3)-(X$33*VALORI!$B$5),0)</f>
        <v>0</v>
      </c>
      <c r="Y49" s="28">
        <f>IF(Y14&gt;0, Y14-(Y$30*VALORI!$B$4)-(Y$31*VALORI!$B$4)-(Y$32*VALORI!$B$3)-(Y$33*VALORI!$B$5),0)</f>
        <v>0</v>
      </c>
      <c r="Z49" s="28">
        <f>IF(Z14&gt;0, Z14-(Z$30*VALORI!$B$4)-(Z$31*VALORI!$B$4)-(Z$32*VALORI!$B$3)-(Z$33*VALORI!$B$5),0)</f>
        <v>0</v>
      </c>
      <c r="AA49" s="28">
        <f>IF(AA14&gt;0, AA14-(AA$30*VALORI!$B$4)-(AA$31*VALORI!$B$4)-(AA$32*VALORI!$B$3)-(AA$33*VALORI!$B$5),0)</f>
        <v>0</v>
      </c>
      <c r="AB49" s="28">
        <f>IF(AB14&gt;0, AB14-(AB$30*VALORI!$B$4)-(AB$31*VALORI!$B$4)-(AB$32*VALORI!$B$3)-(AB$33*VALORI!$B$5),0)</f>
        <v>0</v>
      </c>
      <c r="AC49" s="28">
        <f>IF(AC14&gt;0, AC14-(AC$30*VALORI!$B$4)-(AC$31*VALORI!$B$4)-(AC$32*VALORI!$B$3)-(AC$33*VALORI!$B$5),0)</f>
        <v>0</v>
      </c>
      <c r="AD49" s="28">
        <f>IF(AD14&gt;0, AD14-(AD$30*VALORI!$B$4)-(AD$31*VALORI!$B$4)-(AD$32*VALORI!$B$3)-(AD$33*VALORI!$B$5),0)</f>
        <v>0</v>
      </c>
      <c r="AE49" s="28">
        <f>IF(AE14&gt;0, AE14-(AE$30*VALORI!$B$4)-(AE$31*VALORI!$B$4)-(AE$32*VALORI!$B$3)-(AE$33*VALORI!$B$5),0)</f>
        <v>0</v>
      </c>
      <c r="AF49" s="28">
        <f>IF(AF14&gt;0, AF14-(AF$30*VALORI!$B$4)-(AF$31*VALORI!$B$4)-(AF$32*VALORI!$B$3)-(AF$33*VALORI!$B$5),0)</f>
        <v>0</v>
      </c>
      <c r="AG49" s="28">
        <f>IF(AG14&gt;0, AG14-(AG$30*VALORI!$B$4)-(AG$31*VALORI!$B$4)-(AG$32*VALORI!$B$3)-(AG$33*VALORI!$B$5),0)</f>
        <v>0</v>
      </c>
      <c r="AH49" s="28">
        <f>IF(AH14&gt;0, AH14-(AH$30*VALORI!$B$4)-(AH$31*VALORI!$B$4)-(AH$32*VALORI!$B$3)-(AH$33*VALORI!$B$5),0)</f>
        <v>0</v>
      </c>
      <c r="AI49" s="28">
        <f>IF(AI14&gt;0, AI14-(AI$30*VALORI!$B$4)-(AI$31*VALORI!$B$4)-(AI$32*VALORI!$B$3)-(AI$33*VALORI!$B$5),0)</f>
        <v>0</v>
      </c>
      <c r="AJ49" s="28">
        <f>IF(AJ14&gt;0, AJ14-(AJ$30*VALORI!$B$4)-(AJ$31*VALORI!$B$4)-(AJ$32*VALORI!$B$3)-(AJ$33*VALORI!$B$5),0)</f>
        <v>0</v>
      </c>
      <c r="AK49" s="28">
        <f>IF(AK14&gt;0, AK14-(AK$30*VALORI!$B$4)-(AK$31*VALORI!$B$4)-(AK$32*VALORI!$B$3)-(AK$33*VALORI!$B$5),0)</f>
        <v>0</v>
      </c>
      <c r="AL49" s="28">
        <f>IF(AL14&gt;0, AL14-(AL$30*VALORI!$B$4)-(AL$31*VALORI!$B$4)-(AL$32*VALORI!$B$3)-(AL$33*VALORI!$B$5),0)</f>
        <v>0</v>
      </c>
      <c r="AM49" s="28">
        <f>IF(AM14&gt;0, AM14-(AM$30*VALORI!$B$4)-(AM$31*VALORI!$B$4)-(AM$32*VALORI!$B$3)-(AM$33*VALORI!$B$5),0)</f>
        <v>0</v>
      </c>
      <c r="AN49" s="28">
        <f>IF(AN14&gt;0, AN14-(AN$30*VALORI!$B$4)-(AN$31*VALORI!$B$4)-(AN$32*VALORI!$B$3)-(AN$33*VALORI!$B$5),0)</f>
        <v>0</v>
      </c>
      <c r="AO49" s="28">
        <f>IF(AO14&gt;0, AO14-(AO$30*VALORI!$B$4)-(AO$31*VALORI!$B$4)-(AO$32*VALORI!$B$3)-(AO$33*VALORI!$B$5),0)</f>
        <v>0</v>
      </c>
      <c r="AQ49" s="28">
        <f>IF(AQ14&gt;0, AQ14-(AQ$30*VALORI!$B$4)-(AQ$31*VALORI!$B$4)-(AQ$32*VALORI!$B$3)-(AQ$33*VALORI!$B$5),0)</f>
        <v>0</v>
      </c>
      <c r="AR49" s="28">
        <f>IF(AR14&gt;0, AR14-(AR$30*VALORI!$B$4)-(AR$31*VALORI!$B$4)-(AR$32*VALORI!$B$3)-(AR$33*VALORI!$B$5),0)</f>
        <v>0</v>
      </c>
      <c r="AS49" s="28">
        <f>IF(AS14&gt;0, AS14-(AS$30*VALORI!$B$4)-(AS$31*VALORI!$B$4)-(AS$32*VALORI!$B$3)-(AS$33*VALORI!$B$5),0)</f>
        <v>0</v>
      </c>
      <c r="AT49" s="28">
        <f>IF(AT14&gt;0, AT14-(AT$30*VALORI!$B$4)-(AT$31*VALORI!$B$4)-(AT$32*VALORI!$B$3)-(AT$33*VALORI!$B$5),0)</f>
        <v>0</v>
      </c>
    </row>
    <row r="50" spans="23:46" ht="15.75" x14ac:dyDescent="0.25">
      <c r="W50" s="28">
        <f>IF(W15&gt;0, W15-(W$30*VALORI!$B$4)-(W$31*VALORI!$B$4)-(W$32*VALORI!$B$3)-(W$33*VALORI!$B$5),0)</f>
        <v>0</v>
      </c>
      <c r="X50" s="28">
        <f>IF(X15&gt;0, X15-(X$30*VALORI!$B$4)-(X$31*VALORI!$B$4)-(X$32*VALORI!$B$3)-(X$33*VALORI!$B$5),0)</f>
        <v>0</v>
      </c>
      <c r="Y50" s="28">
        <f>IF(Y15&gt;0, Y15-(Y$30*VALORI!$B$4)-(Y$31*VALORI!$B$4)-(Y$32*VALORI!$B$3)-(Y$33*VALORI!$B$5),0)</f>
        <v>0</v>
      </c>
      <c r="Z50" s="28">
        <f>IF(Z15&gt;0, Z15-(Z$30*VALORI!$B$4)-(Z$31*VALORI!$B$4)-(Z$32*VALORI!$B$3)-(Z$33*VALORI!$B$5),0)</f>
        <v>0</v>
      </c>
      <c r="AA50" s="28">
        <f>IF(AA15&gt;0, AA15-(AA$30*VALORI!$B$4)-(AA$31*VALORI!$B$4)-(AA$32*VALORI!$B$3)-(AA$33*VALORI!$B$5),0)</f>
        <v>0</v>
      </c>
      <c r="AB50" s="28">
        <f>IF(AB15&gt;0, AB15-(AB$30*VALORI!$B$4)-(AB$31*VALORI!$B$4)-(AB$32*VALORI!$B$3)-(AB$33*VALORI!$B$5),0)</f>
        <v>0</v>
      </c>
      <c r="AC50" s="28">
        <f>IF(AC15&gt;0, AC15-(AC$30*VALORI!$B$4)-(AC$31*VALORI!$B$4)-(AC$32*VALORI!$B$3)-(AC$33*VALORI!$B$5),0)</f>
        <v>0</v>
      </c>
      <c r="AD50" s="28">
        <f>IF(AD15&gt;0, AD15-(AD$30*VALORI!$B$4)-(AD$31*VALORI!$B$4)-(AD$32*VALORI!$B$3)-(AD$33*VALORI!$B$5),0)</f>
        <v>0</v>
      </c>
      <c r="AE50" s="28">
        <f>IF(AE15&gt;0, AE15-(AE$30*VALORI!$B$4)-(AE$31*VALORI!$B$4)-(AE$32*VALORI!$B$3)-(AE$33*VALORI!$B$5),0)</f>
        <v>0</v>
      </c>
      <c r="AF50" s="28">
        <f>IF(AF15&gt;0, AF15-(AF$30*VALORI!$B$4)-(AF$31*VALORI!$B$4)-(AF$32*VALORI!$B$3)-(AF$33*VALORI!$B$5),0)</f>
        <v>0</v>
      </c>
      <c r="AG50" s="28">
        <f>IF(AG15&gt;0, AG15-(AG$30*VALORI!$B$4)-(AG$31*VALORI!$B$4)-(AG$32*VALORI!$B$3)-(AG$33*VALORI!$B$5),0)</f>
        <v>0</v>
      </c>
      <c r="AH50" s="28">
        <f>IF(AH15&gt;0, AH15-(AH$30*VALORI!$B$4)-(AH$31*VALORI!$B$4)-(AH$32*VALORI!$B$3)-(AH$33*VALORI!$B$5),0)</f>
        <v>0</v>
      </c>
      <c r="AI50" s="28">
        <f>IF(AI15&gt;0, AI15-(AI$30*VALORI!$B$4)-(AI$31*VALORI!$B$4)-(AI$32*VALORI!$B$3)-(AI$33*VALORI!$B$5),0)</f>
        <v>0</v>
      </c>
      <c r="AJ50" s="28">
        <f>IF(AJ15&gt;0, AJ15-(AJ$30*VALORI!$B$4)-(AJ$31*VALORI!$B$4)-(AJ$32*VALORI!$B$3)-(AJ$33*VALORI!$B$5),0)</f>
        <v>0</v>
      </c>
      <c r="AK50" s="28">
        <f>IF(AK15&gt;0, AK15-(AK$30*VALORI!$B$4)-(AK$31*VALORI!$B$4)-(AK$32*VALORI!$B$3)-(AK$33*VALORI!$B$5),0)</f>
        <v>0</v>
      </c>
      <c r="AL50" s="28">
        <f>IF(AL15&gt;0, AL15-(AL$30*VALORI!$B$4)-(AL$31*VALORI!$B$4)-(AL$32*VALORI!$B$3)-(AL$33*VALORI!$B$5),0)</f>
        <v>0</v>
      </c>
      <c r="AM50" s="28">
        <f>IF(AM15&gt;0, AM15-(AM$30*VALORI!$B$4)-(AM$31*VALORI!$B$4)-(AM$32*VALORI!$B$3)-(AM$33*VALORI!$B$5),0)</f>
        <v>0</v>
      </c>
      <c r="AN50" s="28">
        <f>IF(AN15&gt;0, AN15-(AN$30*VALORI!$B$4)-(AN$31*VALORI!$B$4)-(AN$32*VALORI!$B$3)-(AN$33*VALORI!$B$5),0)</f>
        <v>0</v>
      </c>
      <c r="AO50" s="28">
        <f>IF(AO15&gt;0, AO15-(AO$30*VALORI!$B$4)-(AO$31*VALORI!$B$4)-(AO$32*VALORI!$B$3)-(AO$33*VALORI!$B$5),0)</f>
        <v>0</v>
      </c>
      <c r="AQ50" s="28">
        <f>IF(AQ15&gt;0, AQ15-(AQ$30*VALORI!$B$4)-(AQ$31*VALORI!$B$4)-(AQ$32*VALORI!$B$3)-(AQ$33*VALORI!$B$5),0)</f>
        <v>0</v>
      </c>
      <c r="AR50" s="28">
        <f>IF(AR15&gt;0, AR15-(AR$30*VALORI!$B$4)-(AR$31*VALORI!$B$4)-(AR$32*VALORI!$B$3)-(AR$33*VALORI!$B$5),0)</f>
        <v>0</v>
      </c>
      <c r="AS50" s="28">
        <f>IF(AS15&gt;0, AS15-(AS$30*VALORI!$B$4)-(AS$31*VALORI!$B$4)-(AS$32*VALORI!$B$3)-(AS$33*VALORI!$B$5),0)</f>
        <v>0</v>
      </c>
      <c r="AT50" s="28">
        <f>IF(AT15&gt;0, AT15-(AT$30*VALORI!$B$4)-(AT$31*VALORI!$B$4)-(AT$32*VALORI!$B$3)-(AT$33*VALORI!$B$5),0)</f>
        <v>0</v>
      </c>
    </row>
    <row r="51" spans="23:46" ht="15.75" x14ac:dyDescent="0.25">
      <c r="W51" s="28">
        <f>IF(W25&gt;0, W25-(W$30*VALORI!$B$4)-(W$31*VALORI!$B$4)-(W$32*VALORI!$B$3)-(W$33*VALORI!$B$5),0)</f>
        <v>0</v>
      </c>
      <c r="X51" s="28">
        <f>IF(X25&gt;0, X25-(X$30*VALORI!$B$4)-(X$31*VALORI!$B$4)-(X$32*VALORI!$B$3)-(X$33*VALORI!$B$5),0)</f>
        <v>0</v>
      </c>
      <c r="Y51" s="28">
        <f>IF(Y25&gt;0, Y25-(Y$30*VALORI!$B$4)-(Y$31*VALORI!$B$4)-(Y$32*VALORI!$B$3)-(Y$33*VALORI!$B$5),0)</f>
        <v>0</v>
      </c>
      <c r="Z51" s="28">
        <f>IF(Z25&gt;0, Z25-(Z$30*VALORI!$B$4)-(Z$31*VALORI!$B$4)-(Z$32*VALORI!$B$3)-(Z$33*VALORI!$B$5),0)</f>
        <v>0</v>
      </c>
      <c r="AA51" s="28">
        <f>IF(AA25&gt;0, AA25-(AA$30*VALORI!$B$4)-(AA$31*VALORI!$B$4)-(AA$32*VALORI!$B$3)-(AA$33*VALORI!$B$5),0)</f>
        <v>0</v>
      </c>
      <c r="AB51" s="28">
        <f>IF(AB25&gt;0, AB25-(AB$30*VALORI!$B$4)-(AB$31*VALORI!$B$4)-(AB$32*VALORI!$B$3)-(AB$33*VALORI!$B$5),0)</f>
        <v>0</v>
      </c>
      <c r="AC51" s="28">
        <f>IF(AC25&gt;0, AC25-(AC$30*VALORI!$B$4)-(AC$31*VALORI!$B$4)-(AC$32*VALORI!$B$3)-(AC$33*VALORI!$B$5),0)</f>
        <v>0</v>
      </c>
      <c r="AD51" s="28">
        <f>IF(AD25&gt;0, AD25-(AD$30*VALORI!$B$4)-(AD$31*VALORI!$B$4)-(AD$32*VALORI!$B$3)-(AD$33*VALORI!$B$5),0)</f>
        <v>0</v>
      </c>
      <c r="AE51" s="28">
        <f>IF(AE25&gt;0, AE25-(AE$30*VALORI!$B$4)-(AE$31*VALORI!$B$4)-(AE$32*VALORI!$B$3)-(AE$33*VALORI!$B$5),0)</f>
        <v>0</v>
      </c>
      <c r="AF51" s="28">
        <f>IF(AF25&gt;0, AF25-(AF$30*VALORI!$B$4)-(AF$31*VALORI!$B$4)-(AF$32*VALORI!$B$3)-(AF$33*VALORI!$B$5),0)</f>
        <v>0</v>
      </c>
      <c r="AG51" s="28">
        <f>IF(AG25&gt;0, AG25-(AG$30*VALORI!$B$4)-(AG$31*VALORI!$B$4)-(AG$32*VALORI!$B$3)-(AG$33*VALORI!$B$5),0)</f>
        <v>0</v>
      </c>
      <c r="AH51" s="28">
        <f>IF(AH25&gt;0, AH25-(AH$30*VALORI!$B$4)-(AH$31*VALORI!$B$4)-(AH$32*VALORI!$B$3)-(AH$33*VALORI!$B$5),0)</f>
        <v>0</v>
      </c>
      <c r="AI51" s="28">
        <f>IF(AI25&gt;0, AI25-(AI$30*VALORI!$B$4)-(AI$31*VALORI!$B$4)-(AI$32*VALORI!$B$3)-(AI$33*VALORI!$B$5),0)</f>
        <v>0</v>
      </c>
      <c r="AJ51" s="28">
        <f>IF(AJ25&gt;0, AJ25-(AJ$30*VALORI!$B$4)-(AJ$31*VALORI!$B$4)-(AJ$32*VALORI!$B$3)-(AJ$33*VALORI!$B$5),0)</f>
        <v>0</v>
      </c>
      <c r="AK51" s="28">
        <f>IF(AK25&gt;0, AK25-(AK$30*VALORI!$B$4)-(AK$31*VALORI!$B$4)-(AK$32*VALORI!$B$3)-(AK$33*VALORI!$B$5),0)</f>
        <v>0</v>
      </c>
      <c r="AL51" s="28">
        <f>IF(AL25&gt;0, AL25-(AL$30*VALORI!$B$4)-(AL$31*VALORI!$B$4)-(AL$32*VALORI!$B$3)-(AL$33*VALORI!$B$5),0)</f>
        <v>0</v>
      </c>
      <c r="AM51" s="28">
        <f>IF(AM25&gt;0, AM25-(AM$30*VALORI!$B$4)-(AM$31*VALORI!$B$4)-(AM$32*VALORI!$B$3)-(AM$33*VALORI!$B$5),0)</f>
        <v>0</v>
      </c>
      <c r="AN51" s="28">
        <f>IF(AN25&gt;0, AN25-(AN$30*VALORI!$B$4)-(AN$31*VALORI!$B$4)-(AN$32*VALORI!$B$3)-(AN$33*VALORI!$B$5),0)</f>
        <v>0</v>
      </c>
      <c r="AO51" s="28">
        <f>IF(AO25&gt;0, AO25-(AO$30*VALORI!$B$4)-(AO$31*VALORI!$B$4)-(AO$32*VALORI!$B$3)-(AO$33*VALORI!$B$5),0)</f>
        <v>0</v>
      </c>
      <c r="AQ51" s="28">
        <f>IF(AQ25&gt;0, AQ25-(AQ$30*VALORI!$B$4)-(AQ$31*VALORI!$B$4)-(AQ$32*VALORI!$B$3)-(AQ$33*VALORI!$B$5),0)</f>
        <v>0</v>
      </c>
      <c r="AR51" s="28">
        <f>IF(AR25&gt;0, AR25-(AR$30*VALORI!$B$4)-(AR$31*VALORI!$B$4)-(AR$32*VALORI!$B$3)-(AR$33*VALORI!$B$5),0)</f>
        <v>0</v>
      </c>
      <c r="AS51" s="28">
        <f>IF(AS25&gt;0, AS25-(AS$30*VALORI!$B$4)-(AS$31*VALORI!$B$4)-(AS$32*VALORI!$B$3)-(AS$33*VALORI!$B$5),0)</f>
        <v>0</v>
      </c>
      <c r="AT51" s="28">
        <f>IF(AT25&gt;0, AT25-(AT$30*VALORI!$B$4)-(AT$31*VALORI!$B$4)-(AT$32*VALORI!$B$3)-(AT$33*VALORI!$B$5),0)</f>
        <v>0</v>
      </c>
    </row>
    <row r="52" spans="23:46" ht="15.75" x14ac:dyDescent="0.25">
      <c r="W52" s="28">
        <f>IF(W26&gt;0, W26-(W$30*VALORI!$B$4)-(W$31*VALORI!$B$4)-(W$32*VALORI!$B$3)-(W$33*VALORI!$B$5),0)</f>
        <v>0</v>
      </c>
      <c r="X52" s="28">
        <f>IF(X26&gt;0, X26-(X$30*VALORI!$B$4)-(X$31*VALORI!$B$4)-(X$32*VALORI!$B$3)-(X$33*VALORI!$B$5),0)</f>
        <v>0</v>
      </c>
      <c r="Y52" s="28">
        <f>IF(Y26&gt;0, Y26-(Y$30*VALORI!$B$4)-(Y$31*VALORI!$B$4)-(Y$32*VALORI!$B$3)-(Y$33*VALORI!$B$5),0)</f>
        <v>0</v>
      </c>
      <c r="Z52" s="28">
        <f>IF(Z26&gt;0, Z26-(Z$30*VALORI!$B$4)-(Z$31*VALORI!$B$4)-(Z$32*VALORI!$B$3)-(Z$33*VALORI!$B$5),0)</f>
        <v>0</v>
      </c>
      <c r="AA52" s="28">
        <f>IF(AA26&gt;0, AA26-(AA$30*VALORI!$B$4)-(AA$31*VALORI!$B$4)-(AA$32*VALORI!$B$3)-(AA$33*VALORI!$B$5),0)</f>
        <v>0</v>
      </c>
      <c r="AB52" s="28">
        <f>IF(AB26&gt;0, AB26-(AB$30*VALORI!$B$4)-(AB$31*VALORI!$B$4)-(AB$32*VALORI!$B$3)-(AB$33*VALORI!$B$5),0)</f>
        <v>0</v>
      </c>
      <c r="AC52" s="28">
        <f>IF(AC26&gt;0, AC26-(AC$30*VALORI!$B$4)-(AC$31*VALORI!$B$4)-(AC$32*VALORI!$B$3)-(AC$33*VALORI!$B$5),0)</f>
        <v>0</v>
      </c>
      <c r="AD52" s="28">
        <f>IF(AD26&gt;0, AD26-(AD$30*VALORI!$B$4)-(AD$31*VALORI!$B$4)-(AD$32*VALORI!$B$3)-(AD$33*VALORI!$B$5),0)</f>
        <v>0</v>
      </c>
      <c r="AE52" s="28">
        <f>IF(AE26&gt;0, AE26-(AE$30*VALORI!$B$4)-(AE$31*VALORI!$B$4)-(AE$32*VALORI!$B$3)-(AE$33*VALORI!$B$5),0)</f>
        <v>0</v>
      </c>
      <c r="AF52" s="28">
        <f>IF(AF26&gt;0, AF26-(AF$30*VALORI!$B$4)-(AF$31*VALORI!$B$4)-(AF$32*VALORI!$B$3)-(AF$33*VALORI!$B$5),0)</f>
        <v>0</v>
      </c>
      <c r="AG52" s="28">
        <f>IF(AG26&gt;0, AG26-(AG$30*VALORI!$B$4)-(AG$31*VALORI!$B$4)-(AG$32*VALORI!$B$3)-(AG$33*VALORI!$B$5),0)</f>
        <v>0</v>
      </c>
      <c r="AH52" s="28">
        <f>IF(AH26&gt;0, AH26-(AH$30*VALORI!$B$4)-(AH$31*VALORI!$B$4)-(AH$32*VALORI!$B$3)-(AH$33*VALORI!$B$5),0)</f>
        <v>0</v>
      </c>
      <c r="AI52" s="28">
        <f>IF(AI26&gt;0, AI26-(AI$30*VALORI!$B$4)-(AI$31*VALORI!$B$4)-(AI$32*VALORI!$B$3)-(AI$33*VALORI!$B$5),0)</f>
        <v>0</v>
      </c>
      <c r="AJ52" s="28">
        <f>IF(AJ26&gt;0, AJ26-(AJ$30*VALORI!$B$4)-(AJ$31*VALORI!$B$4)-(AJ$32*VALORI!$B$3)-(AJ$33*VALORI!$B$5),0)</f>
        <v>0</v>
      </c>
      <c r="AK52" s="28">
        <f>IF(AK26&gt;0, AK26-(AK$30*VALORI!$B$4)-(AK$31*VALORI!$B$4)-(AK$32*VALORI!$B$3)-(AK$33*VALORI!$B$5),0)</f>
        <v>0</v>
      </c>
      <c r="AL52" s="28">
        <f>IF(AL26&gt;0, AL26-(AL$30*VALORI!$B$4)-(AL$31*VALORI!$B$4)-(AL$32*VALORI!$B$3)-(AL$33*VALORI!$B$5),0)</f>
        <v>0</v>
      </c>
      <c r="AM52" s="28">
        <f>IF(AM26&gt;0, AM26-(AM$30*VALORI!$B$4)-(AM$31*VALORI!$B$4)-(AM$32*VALORI!$B$3)-(AM$33*VALORI!$B$5),0)</f>
        <v>0</v>
      </c>
      <c r="AN52" s="28">
        <f>IF(AN26&gt;0, AN26-(AN$30*VALORI!$B$4)-(AN$31*VALORI!$B$4)-(AN$32*VALORI!$B$3)-(AN$33*VALORI!$B$5),0)</f>
        <v>0</v>
      </c>
      <c r="AO52" s="28">
        <f>IF(AO26&gt;0, AO26-(AO$30*VALORI!$B$4)-(AO$31*VALORI!$B$4)-(AO$32*VALORI!$B$3)-(AO$33*VALORI!$B$5),0)</f>
        <v>0</v>
      </c>
      <c r="AQ52" s="28">
        <f>IF(AQ26&gt;0, AQ26-(AQ$30*VALORI!$B$4)-(AQ$31*VALORI!$B$4)-(AQ$32*VALORI!$B$3)-(AQ$33*VALORI!$B$5),0)</f>
        <v>0</v>
      </c>
      <c r="AR52" s="28">
        <f>IF(AR26&gt;0, AR26-(AR$30*VALORI!$B$4)-(AR$31*VALORI!$B$4)-(AR$32*VALORI!$B$3)-(AR$33*VALORI!$B$5),0)</f>
        <v>0</v>
      </c>
      <c r="AS52" s="28">
        <f>IF(AS26&gt;0, AS26-(AS$30*VALORI!$B$4)-(AS$31*VALORI!$B$4)-(AS$32*VALORI!$B$3)-(AS$33*VALORI!$B$5),0)</f>
        <v>0</v>
      </c>
      <c r="AT52" s="28">
        <f>IF(AT26&gt;0, AT26-(AT$30*VALORI!$B$4)-(AT$31*VALORI!$B$4)-(AT$32*VALORI!$B$3)-(AT$33*VALORI!$B$5),0)</f>
        <v>0</v>
      </c>
    </row>
    <row r="53" spans="23:46" ht="15.75" x14ac:dyDescent="0.25">
      <c r="W53" s="28">
        <f>IF(W27&gt;0, W27-(W$30*VALORI!$B$4)-(W$31*VALORI!$B$4)-(W$32*VALORI!$B$3)-(W$33*VALORI!$B$5),0)</f>
        <v>0</v>
      </c>
      <c r="X53" s="28">
        <f>IF(X27&gt;0, X27-(X$30*VALORI!$B$4)-(X$31*VALORI!$B$4)-(X$32*VALORI!$B$3)-(X$33*VALORI!$B$5),0)</f>
        <v>0</v>
      </c>
      <c r="Y53" s="28">
        <f>IF(Y27&gt;0, Y27-(Y$30*VALORI!$B$4)-(Y$31*VALORI!$B$4)-(Y$32*VALORI!$B$3)-(Y$33*VALORI!$B$5),0)</f>
        <v>0</v>
      </c>
      <c r="Z53" s="28">
        <f>IF(Z27&gt;0, Z27-(Z$30*VALORI!$B$4)-(Z$31*VALORI!$B$4)-(Z$32*VALORI!$B$3)-(Z$33*VALORI!$B$5),0)</f>
        <v>0</v>
      </c>
      <c r="AA53" s="28">
        <f>IF(AA27&gt;0, AA27-(AA$30*VALORI!$B$4)-(AA$31*VALORI!$B$4)-(AA$32*VALORI!$B$3)-(AA$33*VALORI!$B$5),0)</f>
        <v>0</v>
      </c>
      <c r="AB53" s="28">
        <f>IF(AB27&gt;0, AB27-(AB$30*VALORI!$B$4)-(AB$31*VALORI!$B$4)-(AB$32*VALORI!$B$3)-(AB$33*VALORI!$B$5),0)</f>
        <v>0</v>
      </c>
      <c r="AC53" s="28">
        <f>IF(AC27&gt;0, AC27-(AC$30*VALORI!$B$4)-(AC$31*VALORI!$B$4)-(AC$32*VALORI!$B$3)-(AC$33*VALORI!$B$5),0)</f>
        <v>0</v>
      </c>
      <c r="AD53" s="28">
        <f>IF(AD27&gt;0, AD27-(AD$30*VALORI!$B$4)-(AD$31*VALORI!$B$4)-(AD$32*VALORI!$B$3)-(AD$33*VALORI!$B$5),0)</f>
        <v>0</v>
      </c>
      <c r="AE53" s="28">
        <f>IF(AE27&gt;0, AE27-(AE$30*VALORI!$B$4)-(AE$31*VALORI!$B$4)-(AE$32*VALORI!$B$3)-(AE$33*VALORI!$B$5),0)</f>
        <v>0</v>
      </c>
      <c r="AF53" s="28">
        <f>IF(AF27&gt;0, AF27-(AF$30*VALORI!$B$4)-(AF$31*VALORI!$B$4)-(AF$32*VALORI!$B$3)-(AF$33*VALORI!$B$5),0)</f>
        <v>0</v>
      </c>
      <c r="AG53" s="28">
        <f>IF(AG27&gt;0, AG27-(AG$30*VALORI!$B$4)-(AG$31*VALORI!$B$4)-(AG$32*VALORI!$B$3)-(AG$33*VALORI!$B$5),0)</f>
        <v>0</v>
      </c>
      <c r="AH53" s="28">
        <f>IF(AH27&gt;0, AH27-(AH$30*VALORI!$B$4)-(AH$31*VALORI!$B$4)-(AH$32*VALORI!$B$3)-(AH$33*VALORI!$B$5),0)</f>
        <v>0</v>
      </c>
      <c r="AI53" s="28">
        <f>IF(AI27&gt;0, AI27-(AI$30*VALORI!$B$4)-(AI$31*VALORI!$B$4)-(AI$32*VALORI!$B$3)-(AI$33*VALORI!$B$5),0)</f>
        <v>0</v>
      </c>
      <c r="AJ53" s="28">
        <f>IF(AJ27&gt;0, AJ27-(AJ$30*VALORI!$B$4)-(AJ$31*VALORI!$B$4)-(AJ$32*VALORI!$B$3)-(AJ$33*VALORI!$B$5),0)</f>
        <v>0</v>
      </c>
      <c r="AK53" s="28">
        <f>IF(AK27&gt;0, AK27-(AK$30*VALORI!$B$4)-(AK$31*VALORI!$B$4)-(AK$32*VALORI!$B$3)-(AK$33*VALORI!$B$5),0)</f>
        <v>0</v>
      </c>
      <c r="AL53" s="28">
        <f>IF(AL27&gt;0, AL27-(AL$30*VALORI!$B$4)-(AL$31*VALORI!$B$4)-(AL$32*VALORI!$B$3)-(AL$33*VALORI!$B$5),0)</f>
        <v>0</v>
      </c>
      <c r="AM53" s="28">
        <f>IF(AM27&gt;0, AM27-(AM$30*VALORI!$B$4)-(AM$31*VALORI!$B$4)-(AM$32*VALORI!$B$3)-(AM$33*VALORI!$B$5),0)</f>
        <v>0</v>
      </c>
      <c r="AN53" s="28">
        <f>IF(AN27&gt;0, AN27-(AN$30*VALORI!$B$4)-(AN$31*VALORI!$B$4)-(AN$32*VALORI!$B$3)-(AN$33*VALORI!$B$5),0)</f>
        <v>0</v>
      </c>
      <c r="AO53" s="28">
        <f>IF(AO27&gt;0, AO27-(AO$30*VALORI!$B$4)-(AO$31*VALORI!$B$4)-(AO$32*VALORI!$B$3)-(AO$33*VALORI!$B$5),0)</f>
        <v>0</v>
      </c>
      <c r="AQ53" s="28">
        <f>IF(AQ27&gt;0, AQ27-(AQ$30*VALORI!$B$4)-(AQ$31*VALORI!$B$4)-(AQ$32*VALORI!$B$3)-(AQ$33*VALORI!$B$5),0)</f>
        <v>0</v>
      </c>
      <c r="AR53" s="28">
        <f>IF(AR27&gt;0, AR27-(AR$30*VALORI!$B$4)-(AR$31*VALORI!$B$4)-(AR$32*VALORI!$B$3)-(AR$33*VALORI!$B$5),0)</f>
        <v>0</v>
      </c>
      <c r="AS53" s="28">
        <f>IF(AS27&gt;0, AS27-(AS$30*VALORI!$B$4)-(AS$31*VALORI!$B$4)-(AS$32*VALORI!$B$3)-(AS$33*VALORI!$B$5),0)</f>
        <v>0</v>
      </c>
      <c r="AT53" s="28">
        <f>IF(AT27&gt;0, AT27-(AT$30*VALORI!$B$4)-(AT$31*VALORI!$B$4)-(AT$32*VALORI!$B$3)-(AT$33*VALORI!$B$5),0)</f>
        <v>0</v>
      </c>
    </row>
    <row r="54" spans="23:46" ht="15.75" x14ac:dyDescent="0.25">
      <c r="W54" s="28">
        <f>IF(W28&gt;0, W28-(W$30*VALORI!$B$4)-(W$31*VALORI!$B$4)-(W$32*VALORI!$B$3)-(W$33*VALORI!$B$5),0)</f>
        <v>0</v>
      </c>
      <c r="X54" s="28">
        <f>IF(X28&gt;0, X28-(X$30*VALORI!$B$4)-(X$31*VALORI!$B$4)-(X$32*VALORI!$B$3)-(X$33*VALORI!$B$5),0)</f>
        <v>0</v>
      </c>
      <c r="Y54" s="28">
        <f>IF(Y28&gt;0, Y28-(Y$30*VALORI!$B$4)-(Y$31*VALORI!$B$4)-(Y$32*VALORI!$B$3)-(Y$33*VALORI!$B$5),0)</f>
        <v>0</v>
      </c>
      <c r="Z54" s="28">
        <f>IF(Z28&gt;0, Z28-(Z$30*VALORI!$B$4)-(Z$31*VALORI!$B$4)-(Z$32*VALORI!$B$3)-(Z$33*VALORI!$B$5),0)</f>
        <v>0</v>
      </c>
      <c r="AA54" s="28">
        <f>IF(AA28&gt;0, AA28-(AA$30*VALORI!$B$4)-(AA$31*VALORI!$B$4)-(AA$32*VALORI!$B$3)-(AA$33*VALORI!$B$5),0)</f>
        <v>0</v>
      </c>
      <c r="AB54" s="28">
        <f>IF(AB28&gt;0, AB28-(AB$30*VALORI!$B$4)-(AB$31*VALORI!$B$4)-(AB$32*VALORI!$B$3)-(AB$33*VALORI!$B$5),0)</f>
        <v>0</v>
      </c>
      <c r="AC54" s="28">
        <f>IF(AC28&gt;0, AC28-(AC$30*VALORI!$B$4)-(AC$31*VALORI!$B$4)-(AC$32*VALORI!$B$3)-(AC$33*VALORI!$B$5),0)</f>
        <v>0</v>
      </c>
      <c r="AD54" s="28">
        <f>IF(AD28&gt;0, AD28-(AD$30*VALORI!$B$4)-(AD$31*VALORI!$B$4)-(AD$32*VALORI!$B$3)-(AD$33*VALORI!$B$5),0)</f>
        <v>0</v>
      </c>
      <c r="AE54" s="28">
        <f>IF(AE28&gt;0, AE28-(AE$30*VALORI!$B$4)-(AE$31*VALORI!$B$4)-(AE$32*VALORI!$B$3)-(AE$33*VALORI!$B$5),0)</f>
        <v>0</v>
      </c>
      <c r="AF54" s="28">
        <f>IF(AF28&gt;0, AF28-(AF$30*VALORI!$B$4)-(AF$31*VALORI!$B$4)-(AF$32*VALORI!$B$3)-(AF$33*VALORI!$B$5),0)</f>
        <v>0</v>
      </c>
      <c r="AG54" s="28">
        <f>IF(AG28&gt;0, AG28-(AG$30*VALORI!$B$4)-(AG$31*VALORI!$B$4)-(AG$32*VALORI!$B$3)-(AG$33*VALORI!$B$5),0)</f>
        <v>0</v>
      </c>
      <c r="AH54" s="28">
        <f>IF(AH28&gt;0, AH28-(AH$30*VALORI!$B$4)-(AH$31*VALORI!$B$4)-(AH$32*VALORI!$B$3)-(AH$33*VALORI!$B$5),0)</f>
        <v>0</v>
      </c>
      <c r="AI54" s="28">
        <f>IF(AI28&gt;0, AI28-(AI$30*VALORI!$B$4)-(AI$31*VALORI!$B$4)-(AI$32*VALORI!$B$3)-(AI$33*VALORI!$B$5),0)</f>
        <v>0</v>
      </c>
      <c r="AJ54" s="28">
        <f>IF(AJ28&gt;0, AJ28-(AJ$30*VALORI!$B$4)-(AJ$31*VALORI!$B$4)-(AJ$32*VALORI!$B$3)-(AJ$33*VALORI!$B$5),0)</f>
        <v>0</v>
      </c>
      <c r="AK54" s="28">
        <f>IF(AK28&gt;0, AK28-(AK$30*VALORI!$B$4)-(AK$31*VALORI!$B$4)-(AK$32*VALORI!$B$3)-(AK$33*VALORI!$B$5),0)</f>
        <v>0</v>
      </c>
      <c r="AL54" s="28">
        <f>IF(AL28&gt;0, AL28-(AL$30*VALORI!$B$4)-(AL$31*VALORI!$B$4)-(AL$32*VALORI!$B$3)-(AL$33*VALORI!$B$5),0)</f>
        <v>0</v>
      </c>
      <c r="AM54" s="28">
        <f>IF(AM28&gt;0, AM28-(AM$30*VALORI!$B$4)-(AM$31*VALORI!$B$4)-(AM$32*VALORI!$B$3)-(AM$33*VALORI!$B$5),0)</f>
        <v>0</v>
      </c>
      <c r="AN54" s="28">
        <f>IF(AN28&gt;0, AN28-(AN$30*VALORI!$B$4)-(AN$31*VALORI!$B$4)-(AN$32*VALORI!$B$3)-(AN$33*VALORI!$B$5),0)</f>
        <v>0</v>
      </c>
      <c r="AO54" s="28">
        <f>IF(AO28&gt;0, AO28-(AO$30*VALORI!$B$4)-(AO$31*VALORI!$B$4)-(AO$32*VALORI!$B$3)-(AO$33*VALORI!$B$5),0)</f>
        <v>0</v>
      </c>
      <c r="AQ54" s="28">
        <f>IF(AQ28&gt;0, AQ28-(AQ$30*VALORI!$B$4)-(AQ$31*VALORI!$B$4)-(AQ$32*VALORI!$B$3)-(AQ$33*VALORI!$B$5),0)</f>
        <v>0</v>
      </c>
      <c r="AR54" s="28">
        <f>IF(AR28&gt;0, AR28-(AR$30*VALORI!$B$4)-(AR$31*VALORI!$B$4)-(AR$32*VALORI!$B$3)-(AR$33*VALORI!$B$5),0)</f>
        <v>0</v>
      </c>
      <c r="AS54" s="28">
        <f>IF(AS28&gt;0, AS28-(AS$30*VALORI!$B$4)-(AS$31*VALORI!$B$4)-(AS$32*VALORI!$B$3)-(AS$33*VALORI!$B$5),0)</f>
        <v>0</v>
      </c>
      <c r="AT54" s="28">
        <f>IF(AT28&gt;0, AT28-(AT$30*VALORI!$B$4)-(AT$31*VALORI!$B$4)-(AT$32*VALORI!$B$3)-(AT$33*VALORI!$B$5),0)</f>
        <v>0</v>
      </c>
    </row>
    <row r="57" spans="23:46" ht="72.75" x14ac:dyDescent="0.25">
      <c r="W57" s="94" t="s">
        <v>340</v>
      </c>
      <c r="X57" s="94" t="s">
        <v>340</v>
      </c>
      <c r="Y57" s="94" t="s">
        <v>340</v>
      </c>
      <c r="Z57" s="94" t="s">
        <v>340</v>
      </c>
      <c r="AA57" s="94" t="s">
        <v>340</v>
      </c>
      <c r="AB57" s="94" t="s">
        <v>340</v>
      </c>
      <c r="AC57" s="94" t="s">
        <v>340</v>
      </c>
      <c r="AD57" s="94" t="s">
        <v>340</v>
      </c>
      <c r="AE57" s="94" t="s">
        <v>340</v>
      </c>
      <c r="AF57" s="94" t="s">
        <v>340</v>
      </c>
      <c r="AG57" s="94" t="s">
        <v>340</v>
      </c>
      <c r="AH57" s="94" t="s">
        <v>340</v>
      </c>
      <c r="AI57" s="94" t="s">
        <v>340</v>
      </c>
      <c r="AJ57" s="94" t="s">
        <v>340</v>
      </c>
      <c r="AK57" s="94" t="s">
        <v>340</v>
      </c>
      <c r="AL57" s="94" t="s">
        <v>340</v>
      </c>
      <c r="AM57" s="94" t="s">
        <v>340</v>
      </c>
      <c r="AN57" s="94" t="s">
        <v>340</v>
      </c>
      <c r="AO57" s="94" t="s">
        <v>340</v>
      </c>
      <c r="AQ57" s="94" t="s">
        <v>340</v>
      </c>
      <c r="AR57" s="94" t="s">
        <v>340</v>
      </c>
      <c r="AS57" s="94" t="s">
        <v>340</v>
      </c>
      <c r="AT57" s="94" t="s">
        <v>340</v>
      </c>
    </row>
    <row r="58" spans="23:46" ht="15.75" x14ac:dyDescent="0.25">
      <c r="W58" s="28">
        <f>IF(W3&gt;0, (W$30*VALORI!$B$4)+(W$31*VALORI!$B$4)+(W$32*VALORI!$B$3)+(W$33*VALORI!$B$5),0)</f>
        <v>1240</v>
      </c>
      <c r="X58" s="28">
        <f>IF(X3&gt;0, (X$30*VALORI!$B$4)+(X$31*VALORI!$B$4)+(X$32*VALORI!$B$3)+(X$33*VALORI!$B$5),0)</f>
        <v>3720</v>
      </c>
      <c r="Y58" s="28">
        <f>IF(Y3&gt;0, (Y$30*VALORI!$B$4)+(Y$31*VALORI!$B$4)+(Y$32*VALORI!$B$3)+(Y$33*VALORI!$B$5),0)</f>
        <v>992</v>
      </c>
      <c r="Z58" s="28">
        <f>IF(Z3&gt;0, (Z$30*VALORI!$B$4)+(Z$31*VALORI!$B$4)+(Z$32*VALORI!$B$3)+(Z$33*VALORI!$B$5),0)</f>
        <v>992</v>
      </c>
      <c r="AA58" s="28">
        <f>IF(AA3&gt;0, (AA$30*VALORI!$B$4)+(AA$31*VALORI!$B$4)+(AA$32*VALORI!$B$3)+(AA$33*VALORI!$B$5),0)</f>
        <v>876</v>
      </c>
      <c r="AB58" s="28">
        <f>IF(AB3&gt;0, (AB$30*VALORI!$B$4)+(AB$31*VALORI!$B$4)+(AB$32*VALORI!$B$3)+(AB$33*VALORI!$B$5),0)</f>
        <v>103</v>
      </c>
      <c r="AC58" s="28">
        <f>IF(AC3&gt;0, (AC$30*VALORI!$B$4)+(AC$31*VALORI!$B$4)+(AC$32*VALORI!$B$3)+(AC$33*VALORI!$B$5),0)</f>
        <v>794</v>
      </c>
      <c r="AD58" s="28">
        <f>IF(AD3&gt;0, (AD$30*VALORI!$B$4)+(AD$31*VALORI!$B$4)+(AD$32*VALORI!$B$3)+(AD$33*VALORI!$B$5),0)</f>
        <v>2354</v>
      </c>
      <c r="AE58" s="28">
        <f>IF(AE3&gt;0, (AE$30*VALORI!$B$4)+(AE$31*VALORI!$B$4)+(AE$32*VALORI!$B$3)+(AE$33*VALORI!$B$5),0)</f>
        <v>1268</v>
      </c>
      <c r="AF58" s="28">
        <f>IF(AF3&gt;0, (AF$30*VALORI!$B$4)+(AF$31*VALORI!$B$4)+(AF$32*VALORI!$B$3)+(AF$33*VALORI!$B$5),0)</f>
        <v>1123</v>
      </c>
      <c r="AG58" s="28">
        <f>IF(AG3&gt;0, (AG$30*VALORI!$B$4)+(AG$31*VALORI!$B$4)+(AG$32*VALORI!$B$3)+(AG$33*VALORI!$B$5),0)</f>
        <v>1123</v>
      </c>
      <c r="AH58" s="28">
        <f>IF(AH3&gt;0, (AH$30*VALORI!$B$4)+(AH$31*VALORI!$B$4)+(AH$32*VALORI!$B$3)+(AH$33*VALORI!$B$5),0)</f>
        <v>148</v>
      </c>
      <c r="AI58" s="28">
        <f>IF(AI3&gt;0, (AI$30*VALORI!$B$4)+(AI$31*VALORI!$B$4)+(AI$32*VALORI!$B$3)+(AI$33*VALORI!$B$5),0)</f>
        <v>1600</v>
      </c>
      <c r="AJ58" s="28">
        <f>IF(AJ3&gt;0, (AJ$30*VALORI!$B$4)+(AJ$31*VALORI!$B$4)+(AJ$32*VALORI!$B$3)+(AJ$33*VALORI!$B$5),0)</f>
        <v>0</v>
      </c>
      <c r="AK58" s="28">
        <f>IF(AK3&gt;0, (AK$30*VALORI!$B$4)+(AK$31*VALORI!$B$4)+(AK$32*VALORI!$B$3)+(AK$33*VALORI!$B$5),0)</f>
        <v>0</v>
      </c>
      <c r="AL58" s="28">
        <f>IF(AL3&gt;0, (AL$30*VALORI!$B$4)+(AL$31*VALORI!$B$4)+(AL$32*VALORI!$B$3)+(AL$33*VALORI!$B$5),0)</f>
        <v>6340</v>
      </c>
      <c r="AM58" s="28">
        <f>IF(AM3&gt;0, (AM$30*VALORI!$B$4)+(AM$31*VALORI!$B$4)+(AM$32*VALORI!$B$3)+(AM$33*VALORI!$B$5),0)</f>
        <v>642</v>
      </c>
      <c r="AN58" s="28">
        <f>IF(AN3&gt;0, (AN$30*VALORI!$B$4)+(AN$31*VALORI!$B$4)+(AN$32*VALORI!$B$3)+(AN$33*VALORI!$B$5),0)</f>
        <v>0</v>
      </c>
      <c r="AO58" s="28">
        <f>IF(AO3&gt;0, (AO$30*VALORI!$B$4)+(AO$31*VALORI!$B$4)+(AO$32*VALORI!$B$3)+(AO$33*VALORI!$B$5),0)</f>
        <v>0</v>
      </c>
      <c r="AQ58" s="28">
        <f>IF(AQ3&gt;0, (AQ$30*VALORI!$B$4)+(AQ$31*VALORI!$B$4)+(AQ$32*VALORI!$B$3)+(AQ$33*VALORI!$B$5),0)</f>
        <v>0</v>
      </c>
      <c r="AR58" s="28">
        <f>IF(AR3&gt;0, (AR$30*VALORI!$B$4)+(AR$31*VALORI!$B$4)+(AR$32*VALORI!$B$3)+(AR$33*VALORI!$B$5),0)</f>
        <v>0</v>
      </c>
      <c r="AS58" s="28">
        <f>IF(AS3&gt;0, (AS$30*VALORI!$B$4)+(AS$31*VALORI!$B$4)+(AS$32*VALORI!$B$3)+(AS$33*VALORI!$B$5),0)</f>
        <v>0</v>
      </c>
      <c r="AT58" s="28">
        <f>IF(AT3&gt;0, (AT$30*VALORI!$B$4)+(AT$31*VALORI!$B$4)+(AT$32*VALORI!$B$3)+(AT$33*VALORI!$B$5),0)</f>
        <v>0</v>
      </c>
    </row>
    <row r="59" spans="23:46" ht="15.75" x14ac:dyDescent="0.25">
      <c r="W59" s="28">
        <f>IF(W4&gt;0, (W$30*VALORI!$B$4)+(W$31*VALORI!$B$4)+(W$32*VALORI!$B$3)+(W$33*VALORI!$B$5),0)</f>
        <v>1240</v>
      </c>
      <c r="X59" s="28">
        <f>IF(X4&gt;0, (X$30*VALORI!$B$4)+(X$31*VALORI!$B$4)+(X$32*VALORI!$B$3)+(X$33*VALORI!$B$5),0)</f>
        <v>3720</v>
      </c>
      <c r="Y59" s="28">
        <f>IF(Y4&gt;0, (Y$30*VALORI!$B$4)+(Y$31*VALORI!$B$4)+(Y$32*VALORI!$B$3)+(Y$33*VALORI!$B$5),0)</f>
        <v>992</v>
      </c>
      <c r="Z59" s="28">
        <f>IF(Z4&gt;0, (Z$30*VALORI!$B$4)+(Z$31*VALORI!$B$4)+(Z$32*VALORI!$B$3)+(Z$33*VALORI!$B$5),0)</f>
        <v>992</v>
      </c>
      <c r="AA59" s="28">
        <f>IF(AA4&gt;0, (AA$30*VALORI!$B$4)+(AA$31*VALORI!$B$4)+(AA$32*VALORI!$B$3)+(AA$33*VALORI!$B$5),0)</f>
        <v>876</v>
      </c>
      <c r="AB59" s="28">
        <f>IF(AB4&gt;0, (AB$30*VALORI!$B$4)+(AB$31*VALORI!$B$4)+(AB$32*VALORI!$B$3)+(AB$33*VALORI!$B$5),0)</f>
        <v>103</v>
      </c>
      <c r="AC59" s="28">
        <f>IF(AC4&gt;0, (AC$30*VALORI!$B$4)+(AC$31*VALORI!$B$4)+(AC$32*VALORI!$B$3)+(AC$33*VALORI!$B$5),0)</f>
        <v>794</v>
      </c>
      <c r="AD59" s="28">
        <f>IF(AD4&gt;0, (AD$30*VALORI!$B$4)+(AD$31*VALORI!$B$4)+(AD$32*VALORI!$B$3)+(AD$33*VALORI!$B$5),0)</f>
        <v>2354</v>
      </c>
      <c r="AE59" s="28">
        <f>IF(AE4&gt;0, (AE$30*VALORI!$B$4)+(AE$31*VALORI!$B$4)+(AE$32*VALORI!$B$3)+(AE$33*VALORI!$B$5),0)</f>
        <v>1268</v>
      </c>
      <c r="AF59" s="28">
        <f>IF(AF4&gt;0, (AF$30*VALORI!$B$4)+(AF$31*VALORI!$B$4)+(AF$32*VALORI!$B$3)+(AF$33*VALORI!$B$5),0)</f>
        <v>1123</v>
      </c>
      <c r="AG59" s="28">
        <f>IF(AG4&gt;0, (AG$30*VALORI!$B$4)+(AG$31*VALORI!$B$4)+(AG$32*VALORI!$B$3)+(AG$33*VALORI!$B$5),0)</f>
        <v>1123</v>
      </c>
      <c r="AH59" s="28">
        <f>IF(AH4&gt;0, (AH$30*VALORI!$B$4)+(AH$31*VALORI!$B$4)+(AH$32*VALORI!$B$3)+(AH$33*VALORI!$B$5),0)</f>
        <v>148</v>
      </c>
      <c r="AI59" s="28">
        <f>IF(AI4&gt;0, (AI$30*VALORI!$B$4)+(AI$31*VALORI!$B$4)+(AI$32*VALORI!$B$3)+(AI$33*VALORI!$B$5),0)</f>
        <v>1600</v>
      </c>
      <c r="AJ59" s="28">
        <f>IF(AJ4&gt;0, (AJ$30*VALORI!$B$4)+(AJ$31*VALORI!$B$4)+(AJ$32*VALORI!$B$3)+(AJ$33*VALORI!$B$5),0)</f>
        <v>0</v>
      </c>
      <c r="AK59" s="28">
        <f>IF(AK4&gt;0, (AK$30*VALORI!$B$4)+(AK$31*VALORI!$B$4)+(AK$32*VALORI!$B$3)+(AK$33*VALORI!$B$5),0)</f>
        <v>0</v>
      </c>
      <c r="AL59" s="28">
        <f>IF(AL4&gt;0, (AL$30*VALORI!$B$4)+(AL$31*VALORI!$B$4)+(AL$32*VALORI!$B$3)+(AL$33*VALORI!$B$5),0)</f>
        <v>6340</v>
      </c>
      <c r="AM59" s="28">
        <f>IF(AM4&gt;0, (AM$30*VALORI!$B$4)+(AM$31*VALORI!$B$4)+(AM$32*VALORI!$B$3)+(AM$33*VALORI!$B$5),0)</f>
        <v>642</v>
      </c>
      <c r="AN59" s="28">
        <f>IF(AN4&gt;0, (AN$30*VALORI!$B$4)+(AN$31*VALORI!$B$4)+(AN$32*VALORI!$B$3)+(AN$33*VALORI!$B$5),0)</f>
        <v>0</v>
      </c>
      <c r="AO59" s="28">
        <f>IF(AO4&gt;0, (AO$30*VALORI!$B$4)+(AO$31*VALORI!$B$4)+(AO$32*VALORI!$B$3)+(AO$33*VALORI!$B$5),0)</f>
        <v>0</v>
      </c>
      <c r="AQ59" s="28">
        <f>IF(AQ4&gt;0, (AQ$30*VALORI!$B$4)+(AQ$31*VALORI!$B$4)+(AQ$32*VALORI!$B$3)+(AQ$33*VALORI!$B$5),0)</f>
        <v>0</v>
      </c>
      <c r="AR59" s="28">
        <f>IF(AR4&gt;0, (AR$30*VALORI!$B$4)+(AR$31*VALORI!$B$4)+(AR$32*VALORI!$B$3)+(AR$33*VALORI!$B$5),0)</f>
        <v>0</v>
      </c>
      <c r="AS59" s="28">
        <f>IF(AS4&gt;0, (AS$30*VALORI!$B$4)+(AS$31*VALORI!$B$4)+(AS$32*VALORI!$B$3)+(AS$33*VALORI!$B$5),0)</f>
        <v>0</v>
      </c>
      <c r="AT59" s="28">
        <f>IF(AT4&gt;0, (AT$30*VALORI!$B$4)+(AT$31*VALORI!$B$4)+(AT$32*VALORI!$B$3)+(AT$33*VALORI!$B$5),0)</f>
        <v>0</v>
      </c>
    </row>
    <row r="60" spans="23:46" ht="15.75" x14ac:dyDescent="0.25">
      <c r="W60" s="28">
        <f>IF(W5&gt;0, (W$30*VALORI!$B$4)+(W$31*VALORI!$B$4)+(W$32*VALORI!$B$3)+(W$33*VALORI!$B$5),0)</f>
        <v>1240</v>
      </c>
      <c r="X60" s="28">
        <f>IF(X5&gt;0, (X$30*VALORI!$B$4)+(X$31*VALORI!$B$4)+(X$32*VALORI!$B$3)+(X$33*VALORI!$B$5),0)</f>
        <v>3720</v>
      </c>
      <c r="Y60" s="28">
        <f>IF(Y5&gt;0, (Y$30*VALORI!$B$4)+(Y$31*VALORI!$B$4)+(Y$32*VALORI!$B$3)+(Y$33*VALORI!$B$5),0)</f>
        <v>992</v>
      </c>
      <c r="Z60" s="28">
        <f>IF(Z5&gt;0, (Z$30*VALORI!$B$4)+(Z$31*VALORI!$B$4)+(Z$32*VALORI!$B$3)+(Z$33*VALORI!$B$5),0)</f>
        <v>992</v>
      </c>
      <c r="AA60" s="28">
        <f>IF(AA5&gt;0, (AA$30*VALORI!$B$4)+(AA$31*VALORI!$B$4)+(AA$32*VALORI!$B$3)+(AA$33*VALORI!$B$5),0)</f>
        <v>876</v>
      </c>
      <c r="AB60" s="28">
        <f>IF(AB5&gt;0, (AB$30*VALORI!$B$4)+(AB$31*VALORI!$B$4)+(AB$32*VALORI!$B$3)+(AB$33*VALORI!$B$5),0)</f>
        <v>103</v>
      </c>
      <c r="AC60" s="28">
        <f>IF(AC5&gt;0, (AC$30*VALORI!$B$4)+(AC$31*VALORI!$B$4)+(AC$32*VALORI!$B$3)+(AC$33*VALORI!$B$5),0)</f>
        <v>794</v>
      </c>
      <c r="AD60" s="28">
        <f>IF(AD5&gt;0, (AD$30*VALORI!$B$4)+(AD$31*VALORI!$B$4)+(AD$32*VALORI!$B$3)+(AD$33*VALORI!$B$5),0)</f>
        <v>2354</v>
      </c>
      <c r="AE60" s="28">
        <f>IF(AE5&gt;0, (AE$30*VALORI!$B$4)+(AE$31*VALORI!$B$4)+(AE$32*VALORI!$B$3)+(AE$33*VALORI!$B$5),0)</f>
        <v>1268</v>
      </c>
      <c r="AF60" s="28">
        <f>IF(AF5&gt;0, (AF$30*VALORI!$B$4)+(AF$31*VALORI!$B$4)+(AF$32*VALORI!$B$3)+(AF$33*VALORI!$B$5),0)</f>
        <v>1123</v>
      </c>
      <c r="AG60" s="28">
        <f>IF(AG5&gt;0, (AG$30*VALORI!$B$4)+(AG$31*VALORI!$B$4)+(AG$32*VALORI!$B$3)+(AG$33*VALORI!$B$5),0)</f>
        <v>1123</v>
      </c>
      <c r="AH60" s="28">
        <f>IF(AH5&gt;0, (AH$30*VALORI!$B$4)+(AH$31*VALORI!$B$4)+(AH$32*VALORI!$B$3)+(AH$33*VALORI!$B$5),0)</f>
        <v>148</v>
      </c>
      <c r="AI60" s="28">
        <f>IF(AI5&gt;0, (AI$30*VALORI!$B$4)+(AI$31*VALORI!$B$4)+(AI$32*VALORI!$B$3)+(AI$33*VALORI!$B$5),0)</f>
        <v>1600</v>
      </c>
      <c r="AJ60" s="28">
        <f>IF(AJ5&gt;0, (AJ$30*VALORI!$B$4)+(AJ$31*VALORI!$B$4)+(AJ$32*VALORI!$B$3)+(AJ$33*VALORI!$B$5),0)</f>
        <v>0</v>
      </c>
      <c r="AK60" s="28">
        <f>IF(AK5&gt;0, (AK$30*VALORI!$B$4)+(AK$31*VALORI!$B$4)+(AK$32*VALORI!$B$3)+(AK$33*VALORI!$B$5),0)</f>
        <v>0</v>
      </c>
      <c r="AL60" s="28">
        <f>IF(AL5&gt;0, (AL$30*VALORI!$B$4)+(AL$31*VALORI!$B$4)+(AL$32*VALORI!$B$3)+(AL$33*VALORI!$B$5),0)</f>
        <v>6340</v>
      </c>
      <c r="AM60" s="28">
        <f>IF(AM5&gt;0, (AM$30*VALORI!$B$4)+(AM$31*VALORI!$B$4)+(AM$32*VALORI!$B$3)+(AM$33*VALORI!$B$5),0)</f>
        <v>642</v>
      </c>
      <c r="AN60" s="28">
        <f>IF(AN5&gt;0, (AN$30*VALORI!$B$4)+(AN$31*VALORI!$B$4)+(AN$32*VALORI!$B$3)+(AN$33*VALORI!$B$5),0)</f>
        <v>0</v>
      </c>
      <c r="AO60" s="28">
        <f>IF(AO5&gt;0, (AO$30*VALORI!$B$4)+(AO$31*VALORI!$B$4)+(AO$32*VALORI!$B$3)+(AO$33*VALORI!$B$5),0)</f>
        <v>0</v>
      </c>
      <c r="AQ60" s="28">
        <f>IF(AQ5&gt;0, (AQ$30*VALORI!$B$4)+(AQ$31*VALORI!$B$4)+(AQ$32*VALORI!$B$3)+(AQ$33*VALORI!$B$5),0)</f>
        <v>0</v>
      </c>
      <c r="AR60" s="28">
        <f>IF(AR5&gt;0, (AR$30*VALORI!$B$4)+(AR$31*VALORI!$B$4)+(AR$32*VALORI!$B$3)+(AR$33*VALORI!$B$5),0)</f>
        <v>0</v>
      </c>
      <c r="AS60" s="28">
        <f>IF(AS5&gt;0, (AS$30*VALORI!$B$4)+(AS$31*VALORI!$B$4)+(AS$32*VALORI!$B$3)+(AS$33*VALORI!$B$5),0)</f>
        <v>0</v>
      </c>
      <c r="AT60" s="28">
        <f>IF(AT5&gt;0, (AT$30*VALORI!$B$4)+(AT$31*VALORI!$B$4)+(AT$32*VALORI!$B$3)+(AT$33*VALORI!$B$5),0)</f>
        <v>0</v>
      </c>
    </row>
    <row r="61" spans="23:46" ht="15.75" x14ac:dyDescent="0.25">
      <c r="W61" s="28">
        <f>IF(W6&gt;0, (W$30*VALORI!$B$4)+(W$31*VALORI!$B$4)+(W$32*VALORI!$B$3)+(W$33*VALORI!$B$5),0)</f>
        <v>0</v>
      </c>
      <c r="X61" s="28">
        <f>IF(X6&gt;0, (X$30*VALORI!$B$4)+(X$31*VALORI!$B$4)+(X$32*VALORI!$B$3)+(X$33*VALORI!$B$5),0)</f>
        <v>0</v>
      </c>
      <c r="Y61" s="28">
        <f>IF(Y6&gt;0, (Y$30*VALORI!$B$4)+(Y$31*VALORI!$B$4)+(Y$32*VALORI!$B$3)+(Y$33*VALORI!$B$5),0)</f>
        <v>0</v>
      </c>
      <c r="Z61" s="28">
        <f>IF(Z6&gt;0, (Z$30*VALORI!$B$4)+(Z$31*VALORI!$B$4)+(Z$32*VALORI!$B$3)+(Z$33*VALORI!$B$5),0)</f>
        <v>0</v>
      </c>
      <c r="AA61" s="28">
        <f>IF(AA6&gt;0, (AA$30*VALORI!$B$4)+(AA$31*VALORI!$B$4)+(AA$32*VALORI!$B$3)+(AA$33*VALORI!$B$5),0)</f>
        <v>0</v>
      </c>
      <c r="AB61" s="28">
        <f>IF(AB6&gt;0, (AB$30*VALORI!$B$4)+(AB$31*VALORI!$B$4)+(AB$32*VALORI!$B$3)+(AB$33*VALORI!$B$5),0)</f>
        <v>0</v>
      </c>
      <c r="AC61" s="28">
        <f>IF(AC6&gt;0, (AC$30*VALORI!$B$4)+(AC$31*VALORI!$B$4)+(AC$32*VALORI!$B$3)+(AC$33*VALORI!$B$5),0)</f>
        <v>0</v>
      </c>
      <c r="AD61" s="28">
        <f>IF(AD6&gt;0, (AD$30*VALORI!$B$4)+(AD$31*VALORI!$B$4)+(AD$32*VALORI!$B$3)+(AD$33*VALORI!$B$5),0)</f>
        <v>0</v>
      </c>
      <c r="AE61" s="28">
        <f>IF(AE6&gt;0, (AE$30*VALORI!$B$4)+(AE$31*VALORI!$B$4)+(AE$32*VALORI!$B$3)+(AE$33*VALORI!$B$5),0)</f>
        <v>0</v>
      </c>
      <c r="AF61" s="28">
        <f>IF(AF6&gt;0, (AF$30*VALORI!$B$4)+(AF$31*VALORI!$B$4)+(AF$32*VALORI!$B$3)+(AF$33*VALORI!$B$5),0)</f>
        <v>0</v>
      </c>
      <c r="AG61" s="28">
        <f>IF(AG6&gt;0, (AG$30*VALORI!$B$4)+(AG$31*VALORI!$B$4)+(AG$32*VALORI!$B$3)+(AG$33*VALORI!$B$5),0)</f>
        <v>0</v>
      </c>
      <c r="AH61" s="28">
        <f>IF(AH6&gt;0, (AH$30*VALORI!$B$4)+(AH$31*VALORI!$B$4)+(AH$32*VALORI!$B$3)+(AH$33*VALORI!$B$5),0)</f>
        <v>0</v>
      </c>
      <c r="AI61" s="28">
        <f>IF(AI6&gt;0, (AI$30*VALORI!$B$4)+(AI$31*VALORI!$B$4)+(AI$32*VALORI!$B$3)+(AI$33*VALORI!$B$5),0)</f>
        <v>0</v>
      </c>
      <c r="AJ61" s="28">
        <f>IF(AJ6&gt;0, (AJ$30*VALORI!$B$4)+(AJ$31*VALORI!$B$4)+(AJ$32*VALORI!$B$3)+(AJ$33*VALORI!$B$5),0)</f>
        <v>0</v>
      </c>
      <c r="AK61" s="28">
        <f>IF(AK6&gt;0, (AK$30*VALORI!$B$4)+(AK$31*VALORI!$B$4)+(AK$32*VALORI!$B$3)+(AK$33*VALORI!$B$5),0)</f>
        <v>0</v>
      </c>
      <c r="AL61" s="28">
        <f>IF(AL6&gt;0, (AL$30*VALORI!$B$4)+(AL$31*VALORI!$B$4)+(AL$32*VALORI!$B$3)+(AL$33*VALORI!$B$5),0)</f>
        <v>0</v>
      </c>
      <c r="AM61" s="28">
        <f>IF(AM6&gt;0, (AM$30*VALORI!$B$4)+(AM$31*VALORI!$B$4)+(AM$32*VALORI!$B$3)+(AM$33*VALORI!$B$5),0)</f>
        <v>0</v>
      </c>
      <c r="AN61" s="28">
        <f>IF(AN6&gt;0, (AN$30*VALORI!$B$4)+(AN$31*VALORI!$B$4)+(AN$32*VALORI!$B$3)+(AN$33*VALORI!$B$5),0)</f>
        <v>0</v>
      </c>
      <c r="AO61" s="28">
        <f>IF(AO6&gt;0, (AO$30*VALORI!$B$4)+(AO$31*VALORI!$B$4)+(AO$32*VALORI!$B$3)+(AO$33*VALORI!$B$5),0)</f>
        <v>0</v>
      </c>
      <c r="AQ61" s="28">
        <f>IF(AQ6&gt;0, (AQ$30*VALORI!$B$4)+(AQ$31*VALORI!$B$4)+(AQ$32*VALORI!$B$3)+(AQ$33*VALORI!$B$5),0)</f>
        <v>0</v>
      </c>
      <c r="AR61" s="28">
        <f>IF(AR6&gt;0, (AR$30*VALORI!$B$4)+(AR$31*VALORI!$B$4)+(AR$32*VALORI!$B$3)+(AR$33*VALORI!$B$5),0)</f>
        <v>0</v>
      </c>
      <c r="AS61" s="28">
        <f>IF(AS6&gt;0, (AS$30*VALORI!$B$4)+(AS$31*VALORI!$B$4)+(AS$32*VALORI!$B$3)+(AS$33*VALORI!$B$5),0)</f>
        <v>0</v>
      </c>
      <c r="AT61" s="28">
        <f>IF(AT6&gt;0, (AT$30*VALORI!$B$4)+(AT$31*VALORI!$B$4)+(AT$32*VALORI!$B$3)+(AT$33*VALORI!$B$5),0)</f>
        <v>0</v>
      </c>
    </row>
    <row r="62" spans="23:46" ht="15.75" x14ac:dyDescent="0.25">
      <c r="W62" s="28">
        <f>IF(W7&gt;0, (W$30*VALORI!$B$4)+(W$31*VALORI!$B$4)+(W$32*VALORI!$B$3)+(W$33*VALORI!$B$5),0)</f>
        <v>0</v>
      </c>
      <c r="X62" s="28">
        <f>IF(X7&gt;0, (X$30*VALORI!$B$4)+(X$31*VALORI!$B$4)+(X$32*VALORI!$B$3)+(X$33*VALORI!$B$5),0)</f>
        <v>0</v>
      </c>
      <c r="Y62" s="28">
        <f>IF(Y7&gt;0, (Y$30*VALORI!$B$4)+(Y$31*VALORI!$B$4)+(Y$32*VALORI!$B$3)+(Y$33*VALORI!$B$5),0)</f>
        <v>0</v>
      </c>
      <c r="Z62" s="28">
        <f>IF(Z7&gt;0, (Z$30*VALORI!$B$4)+(Z$31*VALORI!$B$4)+(Z$32*VALORI!$B$3)+(Z$33*VALORI!$B$5),0)</f>
        <v>0</v>
      </c>
      <c r="AA62" s="28">
        <f>IF(AA7&gt;0, (AA$30*VALORI!$B$4)+(AA$31*VALORI!$B$4)+(AA$32*VALORI!$B$3)+(AA$33*VALORI!$B$5),0)</f>
        <v>0</v>
      </c>
      <c r="AB62" s="28">
        <f>IF(AB7&gt;0, (AB$30*VALORI!$B$4)+(AB$31*VALORI!$B$4)+(AB$32*VALORI!$B$3)+(AB$33*VALORI!$B$5),0)</f>
        <v>0</v>
      </c>
      <c r="AC62" s="28">
        <f>IF(AC7&gt;0, (AC$30*VALORI!$B$4)+(AC$31*VALORI!$B$4)+(AC$32*VALORI!$B$3)+(AC$33*VALORI!$B$5),0)</f>
        <v>0</v>
      </c>
      <c r="AD62" s="28">
        <f>IF(AD7&gt;0, (AD$30*VALORI!$B$4)+(AD$31*VALORI!$B$4)+(AD$32*VALORI!$B$3)+(AD$33*VALORI!$B$5),0)</f>
        <v>0</v>
      </c>
      <c r="AE62" s="28">
        <f>IF(AE7&gt;0, (AE$30*VALORI!$B$4)+(AE$31*VALORI!$B$4)+(AE$32*VALORI!$B$3)+(AE$33*VALORI!$B$5),0)</f>
        <v>0</v>
      </c>
      <c r="AF62" s="28">
        <f>IF(AF7&gt;0, (AF$30*VALORI!$B$4)+(AF$31*VALORI!$B$4)+(AF$32*VALORI!$B$3)+(AF$33*VALORI!$B$5),0)</f>
        <v>0</v>
      </c>
      <c r="AG62" s="28">
        <f>IF(AG7&gt;0, (AG$30*VALORI!$B$4)+(AG$31*VALORI!$B$4)+(AG$32*VALORI!$B$3)+(AG$33*VALORI!$B$5),0)</f>
        <v>0</v>
      </c>
      <c r="AH62" s="28">
        <f>IF(AH7&gt;0, (AH$30*VALORI!$B$4)+(AH$31*VALORI!$B$4)+(AH$32*VALORI!$B$3)+(AH$33*VALORI!$B$5),0)</f>
        <v>0</v>
      </c>
      <c r="AI62" s="28">
        <f>IF(AI7&gt;0, (AI$30*VALORI!$B$4)+(AI$31*VALORI!$B$4)+(AI$32*VALORI!$B$3)+(AI$33*VALORI!$B$5),0)</f>
        <v>0</v>
      </c>
      <c r="AJ62" s="28">
        <f>IF(AJ7&gt;0, (AJ$30*VALORI!$B$4)+(AJ$31*VALORI!$B$4)+(AJ$32*VALORI!$B$3)+(AJ$33*VALORI!$B$5),0)</f>
        <v>0</v>
      </c>
      <c r="AK62" s="28">
        <f>IF(AK7&gt;0, (AK$30*VALORI!$B$4)+(AK$31*VALORI!$B$4)+(AK$32*VALORI!$B$3)+(AK$33*VALORI!$B$5),0)</f>
        <v>0</v>
      </c>
      <c r="AL62" s="28">
        <f>IF(AL7&gt;0, (AL$30*VALORI!$B$4)+(AL$31*VALORI!$B$4)+(AL$32*VALORI!$B$3)+(AL$33*VALORI!$B$5),0)</f>
        <v>0</v>
      </c>
      <c r="AM62" s="28">
        <f>IF(AM7&gt;0, (AM$30*VALORI!$B$4)+(AM$31*VALORI!$B$4)+(AM$32*VALORI!$B$3)+(AM$33*VALORI!$B$5),0)</f>
        <v>0</v>
      </c>
      <c r="AN62" s="28">
        <f>IF(AN7&gt;0, (AN$30*VALORI!$B$4)+(AN$31*VALORI!$B$4)+(AN$32*VALORI!$B$3)+(AN$33*VALORI!$B$5),0)</f>
        <v>0</v>
      </c>
      <c r="AO62" s="28">
        <f>IF(AO7&gt;0, (AO$30*VALORI!$B$4)+(AO$31*VALORI!$B$4)+(AO$32*VALORI!$B$3)+(AO$33*VALORI!$B$5),0)</f>
        <v>0</v>
      </c>
      <c r="AQ62" s="28">
        <f>IF(AQ7&gt;0, (AQ$30*VALORI!$B$4)+(AQ$31*VALORI!$B$4)+(AQ$32*VALORI!$B$3)+(AQ$33*VALORI!$B$5),0)</f>
        <v>0</v>
      </c>
      <c r="AR62" s="28">
        <f>IF(AR7&gt;0, (AR$30*VALORI!$B$4)+(AR$31*VALORI!$B$4)+(AR$32*VALORI!$B$3)+(AR$33*VALORI!$B$5),0)</f>
        <v>0</v>
      </c>
      <c r="AS62" s="28">
        <f>IF(AS7&gt;0, (AS$30*VALORI!$B$4)+(AS$31*VALORI!$B$4)+(AS$32*VALORI!$B$3)+(AS$33*VALORI!$B$5),0)</f>
        <v>0</v>
      </c>
      <c r="AT62" s="28">
        <f>IF(AT7&gt;0, (AT$30*VALORI!$B$4)+(AT$31*VALORI!$B$4)+(AT$32*VALORI!$B$3)+(AT$33*VALORI!$B$5),0)</f>
        <v>0</v>
      </c>
    </row>
    <row r="63" spans="23:46" ht="15.75" x14ac:dyDescent="0.25">
      <c r="W63" s="28">
        <f>IF(W8&gt;0, (W$30*VALORI!$B$4)+(W$31*VALORI!$B$4)+(W$32*VALORI!$B$3)+(W$33*VALORI!$B$5),0)</f>
        <v>0</v>
      </c>
      <c r="X63" s="28">
        <f>IF(X8&gt;0, (X$30*VALORI!$B$4)+(X$31*VALORI!$B$4)+(X$32*VALORI!$B$3)+(X$33*VALORI!$B$5),0)</f>
        <v>0</v>
      </c>
      <c r="Y63" s="28">
        <f>IF(Y8&gt;0, (Y$30*VALORI!$B$4)+(Y$31*VALORI!$B$4)+(Y$32*VALORI!$B$3)+(Y$33*VALORI!$B$5),0)</f>
        <v>0</v>
      </c>
      <c r="Z63" s="28">
        <f>IF(Z8&gt;0, (Z$30*VALORI!$B$4)+(Z$31*VALORI!$B$4)+(Z$32*VALORI!$B$3)+(Z$33*VALORI!$B$5),0)</f>
        <v>0</v>
      </c>
      <c r="AA63" s="28">
        <f>IF(AA8&gt;0, (AA$30*VALORI!$B$4)+(AA$31*VALORI!$B$4)+(AA$32*VALORI!$B$3)+(AA$33*VALORI!$B$5),0)</f>
        <v>0</v>
      </c>
      <c r="AB63" s="28">
        <f>IF(AB8&gt;0, (AB$30*VALORI!$B$4)+(AB$31*VALORI!$B$4)+(AB$32*VALORI!$B$3)+(AB$33*VALORI!$B$5),0)</f>
        <v>0</v>
      </c>
      <c r="AC63" s="28">
        <f>IF(AC8&gt;0, (AC$30*VALORI!$B$4)+(AC$31*VALORI!$B$4)+(AC$32*VALORI!$B$3)+(AC$33*VALORI!$B$5),0)</f>
        <v>0</v>
      </c>
      <c r="AD63" s="28">
        <f>IF(AD8&gt;0, (AD$30*VALORI!$B$4)+(AD$31*VALORI!$B$4)+(AD$32*VALORI!$B$3)+(AD$33*VALORI!$B$5),0)</f>
        <v>0</v>
      </c>
      <c r="AE63" s="28">
        <f>IF(AE8&gt;0, (AE$30*VALORI!$B$4)+(AE$31*VALORI!$B$4)+(AE$32*VALORI!$B$3)+(AE$33*VALORI!$B$5),0)</f>
        <v>0</v>
      </c>
      <c r="AF63" s="28">
        <f>IF(AF8&gt;0, (AF$30*VALORI!$B$4)+(AF$31*VALORI!$B$4)+(AF$32*VALORI!$B$3)+(AF$33*VALORI!$B$5),0)</f>
        <v>0</v>
      </c>
      <c r="AG63" s="28">
        <f>IF(AG8&gt;0, (AG$30*VALORI!$B$4)+(AG$31*VALORI!$B$4)+(AG$32*VALORI!$B$3)+(AG$33*VALORI!$B$5),0)</f>
        <v>0</v>
      </c>
      <c r="AH63" s="28">
        <f>IF(AH8&gt;0, (AH$30*VALORI!$B$4)+(AH$31*VALORI!$B$4)+(AH$32*VALORI!$B$3)+(AH$33*VALORI!$B$5),0)</f>
        <v>0</v>
      </c>
      <c r="AI63" s="28">
        <f>IF(AI8&gt;0, (AI$30*VALORI!$B$4)+(AI$31*VALORI!$B$4)+(AI$32*VALORI!$B$3)+(AI$33*VALORI!$B$5),0)</f>
        <v>0</v>
      </c>
      <c r="AJ63" s="28">
        <f>IF(AJ8&gt;0, (AJ$30*VALORI!$B$4)+(AJ$31*VALORI!$B$4)+(AJ$32*VALORI!$B$3)+(AJ$33*VALORI!$B$5),0)</f>
        <v>0</v>
      </c>
      <c r="AK63" s="28">
        <f>IF(AK8&gt;0, (AK$30*VALORI!$B$4)+(AK$31*VALORI!$B$4)+(AK$32*VALORI!$B$3)+(AK$33*VALORI!$B$5),0)</f>
        <v>0</v>
      </c>
      <c r="AL63" s="28">
        <f>IF(AL8&gt;0, (AL$30*VALORI!$B$4)+(AL$31*VALORI!$B$4)+(AL$32*VALORI!$B$3)+(AL$33*VALORI!$B$5),0)</f>
        <v>0</v>
      </c>
      <c r="AM63" s="28">
        <f>IF(AM8&gt;0, (AM$30*VALORI!$B$4)+(AM$31*VALORI!$B$4)+(AM$32*VALORI!$B$3)+(AM$33*VALORI!$B$5),0)</f>
        <v>0</v>
      </c>
      <c r="AN63" s="28">
        <f>IF(AN8&gt;0, (AN$30*VALORI!$B$4)+(AN$31*VALORI!$B$4)+(AN$32*VALORI!$B$3)+(AN$33*VALORI!$B$5),0)</f>
        <v>0</v>
      </c>
      <c r="AO63" s="28">
        <f>IF(AO8&gt;0, (AO$30*VALORI!$B$4)+(AO$31*VALORI!$B$4)+(AO$32*VALORI!$B$3)+(AO$33*VALORI!$B$5),0)</f>
        <v>0</v>
      </c>
      <c r="AQ63" s="28">
        <f>IF(AQ8&gt;0, (AQ$30*VALORI!$B$4)+(AQ$31*VALORI!$B$4)+(AQ$32*VALORI!$B$3)+(AQ$33*VALORI!$B$5),0)</f>
        <v>0</v>
      </c>
      <c r="AR63" s="28">
        <f>IF(AR8&gt;0, (AR$30*VALORI!$B$4)+(AR$31*VALORI!$B$4)+(AR$32*VALORI!$B$3)+(AR$33*VALORI!$B$5),0)</f>
        <v>0</v>
      </c>
      <c r="AS63" s="28">
        <f>IF(AS8&gt;0, (AS$30*VALORI!$B$4)+(AS$31*VALORI!$B$4)+(AS$32*VALORI!$B$3)+(AS$33*VALORI!$B$5),0)</f>
        <v>0</v>
      </c>
      <c r="AT63" s="28">
        <f>IF(AT8&gt;0, (AT$30*VALORI!$B$4)+(AT$31*VALORI!$B$4)+(AT$32*VALORI!$B$3)+(AT$33*VALORI!$B$5),0)</f>
        <v>0</v>
      </c>
    </row>
    <row r="64" spans="23:46" ht="15.75" x14ac:dyDescent="0.25">
      <c r="W64" s="28">
        <f>IF(W9&gt;0, (W$30*VALORI!$B$4)+(W$31*VALORI!$B$4)+(W$32*VALORI!$B$3)+(W$33*VALORI!$B$5),0)</f>
        <v>0</v>
      </c>
      <c r="X64" s="28">
        <f>IF(X9&gt;0, (X$30*VALORI!$B$4)+(X$31*VALORI!$B$4)+(X$32*VALORI!$B$3)+(X$33*VALORI!$B$5),0)</f>
        <v>0</v>
      </c>
      <c r="Y64" s="28">
        <f>IF(Y9&gt;0, (Y$30*VALORI!$B$4)+(Y$31*VALORI!$B$4)+(Y$32*VALORI!$B$3)+(Y$33*VALORI!$B$5),0)</f>
        <v>0</v>
      </c>
      <c r="Z64" s="28">
        <f>IF(Z9&gt;0, (Z$30*VALORI!$B$4)+(Z$31*VALORI!$B$4)+(Z$32*VALORI!$B$3)+(Z$33*VALORI!$B$5),0)</f>
        <v>0</v>
      </c>
      <c r="AA64" s="28">
        <f>IF(AA9&gt;0, (AA$30*VALORI!$B$4)+(AA$31*VALORI!$B$4)+(AA$32*VALORI!$B$3)+(AA$33*VALORI!$B$5),0)</f>
        <v>0</v>
      </c>
      <c r="AB64" s="28">
        <f>IF(AB9&gt;0, (AB$30*VALORI!$B$4)+(AB$31*VALORI!$B$4)+(AB$32*VALORI!$B$3)+(AB$33*VALORI!$B$5),0)</f>
        <v>0</v>
      </c>
      <c r="AC64" s="28">
        <f>IF(AC9&gt;0, (AC$30*VALORI!$B$4)+(AC$31*VALORI!$B$4)+(AC$32*VALORI!$B$3)+(AC$33*VALORI!$B$5),0)</f>
        <v>0</v>
      </c>
      <c r="AD64" s="28">
        <f>IF(AD9&gt;0, (AD$30*VALORI!$B$4)+(AD$31*VALORI!$B$4)+(AD$32*VALORI!$B$3)+(AD$33*VALORI!$B$5),0)</f>
        <v>0</v>
      </c>
      <c r="AE64" s="28">
        <f>IF(AE9&gt;0, (AE$30*VALORI!$B$4)+(AE$31*VALORI!$B$4)+(AE$32*VALORI!$B$3)+(AE$33*VALORI!$B$5),0)</f>
        <v>0</v>
      </c>
      <c r="AF64" s="28">
        <f>IF(AF9&gt;0, (AF$30*VALORI!$B$4)+(AF$31*VALORI!$B$4)+(AF$32*VALORI!$B$3)+(AF$33*VALORI!$B$5),0)</f>
        <v>0</v>
      </c>
      <c r="AG64" s="28">
        <f>IF(AG9&gt;0, (AG$30*VALORI!$B$4)+(AG$31*VALORI!$B$4)+(AG$32*VALORI!$B$3)+(AG$33*VALORI!$B$5),0)</f>
        <v>0</v>
      </c>
      <c r="AH64" s="28">
        <f>IF(AH9&gt;0, (AH$30*VALORI!$B$4)+(AH$31*VALORI!$B$4)+(AH$32*VALORI!$B$3)+(AH$33*VALORI!$B$5),0)</f>
        <v>0</v>
      </c>
      <c r="AI64" s="28">
        <f>IF(AI9&gt;0, (AI$30*VALORI!$B$4)+(AI$31*VALORI!$B$4)+(AI$32*VALORI!$B$3)+(AI$33*VALORI!$B$5),0)</f>
        <v>0</v>
      </c>
      <c r="AJ64" s="28">
        <f>IF(AJ9&gt;0, (AJ$30*VALORI!$B$4)+(AJ$31*VALORI!$B$4)+(AJ$32*VALORI!$B$3)+(AJ$33*VALORI!$B$5),0)</f>
        <v>0</v>
      </c>
      <c r="AK64" s="28">
        <f>IF(AK9&gt;0, (AK$30*VALORI!$B$4)+(AK$31*VALORI!$B$4)+(AK$32*VALORI!$B$3)+(AK$33*VALORI!$B$5),0)</f>
        <v>0</v>
      </c>
      <c r="AL64" s="28">
        <f>IF(AL9&gt;0, (AL$30*VALORI!$B$4)+(AL$31*VALORI!$B$4)+(AL$32*VALORI!$B$3)+(AL$33*VALORI!$B$5),0)</f>
        <v>0</v>
      </c>
      <c r="AM64" s="28">
        <f>IF(AM9&gt;0, (AM$30*VALORI!$B$4)+(AM$31*VALORI!$B$4)+(AM$32*VALORI!$B$3)+(AM$33*VALORI!$B$5),0)</f>
        <v>0</v>
      </c>
      <c r="AN64" s="28">
        <f>IF(AN9&gt;0, (AN$30*VALORI!$B$4)+(AN$31*VALORI!$B$4)+(AN$32*VALORI!$B$3)+(AN$33*VALORI!$B$5),0)</f>
        <v>0</v>
      </c>
      <c r="AO64" s="28">
        <f>IF(AO9&gt;0, (AO$30*VALORI!$B$4)+(AO$31*VALORI!$B$4)+(AO$32*VALORI!$B$3)+(AO$33*VALORI!$B$5),0)</f>
        <v>0</v>
      </c>
      <c r="AQ64" s="28">
        <f>IF(AQ9&gt;0, (AQ$30*VALORI!$B$4)+(AQ$31*VALORI!$B$4)+(AQ$32*VALORI!$B$3)+(AQ$33*VALORI!$B$5),0)</f>
        <v>0</v>
      </c>
      <c r="AR64" s="28">
        <f>IF(AR9&gt;0, (AR$30*VALORI!$B$4)+(AR$31*VALORI!$B$4)+(AR$32*VALORI!$B$3)+(AR$33*VALORI!$B$5),0)</f>
        <v>0</v>
      </c>
      <c r="AS64" s="28">
        <f>IF(AS9&gt;0, (AS$30*VALORI!$B$4)+(AS$31*VALORI!$B$4)+(AS$32*VALORI!$B$3)+(AS$33*VALORI!$B$5),0)</f>
        <v>0</v>
      </c>
      <c r="AT64" s="28">
        <f>IF(AT9&gt;0, (AT$30*VALORI!$B$4)+(AT$31*VALORI!$B$4)+(AT$32*VALORI!$B$3)+(AT$33*VALORI!$B$5),0)</f>
        <v>0</v>
      </c>
    </row>
    <row r="65" spans="23:46" ht="15.75" x14ac:dyDescent="0.25">
      <c r="W65" s="28">
        <f>IF(W10&gt;0, (W$30*VALORI!$B$4)+(W$31*VALORI!$B$4)+(W$32*VALORI!$B$3)+(W$33*VALORI!$B$5),0)</f>
        <v>0</v>
      </c>
      <c r="X65" s="28">
        <f>IF(X10&gt;0, (X$30*VALORI!$B$4)+(X$31*VALORI!$B$4)+(X$32*VALORI!$B$3)+(X$33*VALORI!$B$5),0)</f>
        <v>0</v>
      </c>
      <c r="Y65" s="28">
        <f>IF(Y10&gt;0, (Y$30*VALORI!$B$4)+(Y$31*VALORI!$B$4)+(Y$32*VALORI!$B$3)+(Y$33*VALORI!$B$5),0)</f>
        <v>0</v>
      </c>
      <c r="Z65" s="28">
        <f>IF(Z10&gt;0, (Z$30*VALORI!$B$4)+(Z$31*VALORI!$B$4)+(Z$32*VALORI!$B$3)+(Z$33*VALORI!$B$5),0)</f>
        <v>0</v>
      </c>
      <c r="AA65" s="28">
        <f>IF(AA10&gt;0, (AA$30*VALORI!$B$4)+(AA$31*VALORI!$B$4)+(AA$32*VALORI!$B$3)+(AA$33*VALORI!$B$5),0)</f>
        <v>0</v>
      </c>
      <c r="AB65" s="28">
        <f>IF(AB10&gt;0, (AB$30*VALORI!$B$4)+(AB$31*VALORI!$B$4)+(AB$32*VALORI!$B$3)+(AB$33*VALORI!$B$5),0)</f>
        <v>0</v>
      </c>
      <c r="AC65" s="28">
        <f>IF(AC10&gt;0, (AC$30*VALORI!$B$4)+(AC$31*VALORI!$B$4)+(AC$32*VALORI!$B$3)+(AC$33*VALORI!$B$5),0)</f>
        <v>0</v>
      </c>
      <c r="AD65" s="28">
        <f>IF(AD10&gt;0, (AD$30*VALORI!$B$4)+(AD$31*VALORI!$B$4)+(AD$32*VALORI!$B$3)+(AD$33*VALORI!$B$5),0)</f>
        <v>0</v>
      </c>
      <c r="AE65" s="28">
        <f>IF(AE10&gt;0, (AE$30*VALORI!$B$4)+(AE$31*VALORI!$B$4)+(AE$32*VALORI!$B$3)+(AE$33*VALORI!$B$5),0)</f>
        <v>0</v>
      </c>
      <c r="AF65" s="28">
        <f>IF(AF10&gt;0, (AF$30*VALORI!$B$4)+(AF$31*VALORI!$B$4)+(AF$32*VALORI!$B$3)+(AF$33*VALORI!$B$5),0)</f>
        <v>0</v>
      </c>
      <c r="AG65" s="28">
        <f>IF(AG10&gt;0, (AG$30*VALORI!$B$4)+(AG$31*VALORI!$B$4)+(AG$32*VALORI!$B$3)+(AG$33*VALORI!$B$5),0)</f>
        <v>0</v>
      </c>
      <c r="AH65" s="28">
        <f>IF(AH10&gt;0, (AH$30*VALORI!$B$4)+(AH$31*VALORI!$B$4)+(AH$32*VALORI!$B$3)+(AH$33*VALORI!$B$5),0)</f>
        <v>0</v>
      </c>
      <c r="AI65" s="28">
        <f>IF(AI10&gt;0, (AI$30*VALORI!$B$4)+(AI$31*VALORI!$B$4)+(AI$32*VALORI!$B$3)+(AI$33*VALORI!$B$5),0)</f>
        <v>0</v>
      </c>
      <c r="AJ65" s="28">
        <f>IF(AJ10&gt;0, (AJ$30*VALORI!$B$4)+(AJ$31*VALORI!$B$4)+(AJ$32*VALORI!$B$3)+(AJ$33*VALORI!$B$5),0)</f>
        <v>0</v>
      </c>
      <c r="AK65" s="28">
        <f>IF(AK10&gt;0, (AK$30*VALORI!$B$4)+(AK$31*VALORI!$B$4)+(AK$32*VALORI!$B$3)+(AK$33*VALORI!$B$5),0)</f>
        <v>0</v>
      </c>
      <c r="AL65" s="28">
        <f>IF(AL10&gt;0, (AL$30*VALORI!$B$4)+(AL$31*VALORI!$B$4)+(AL$32*VALORI!$B$3)+(AL$33*VALORI!$B$5),0)</f>
        <v>0</v>
      </c>
      <c r="AM65" s="28">
        <f>IF(AM10&gt;0, (AM$30*VALORI!$B$4)+(AM$31*VALORI!$B$4)+(AM$32*VALORI!$B$3)+(AM$33*VALORI!$B$5),0)</f>
        <v>0</v>
      </c>
      <c r="AN65" s="28">
        <f>IF(AN10&gt;0, (AN$30*VALORI!$B$4)+(AN$31*VALORI!$B$4)+(AN$32*VALORI!$B$3)+(AN$33*VALORI!$B$5),0)</f>
        <v>0</v>
      </c>
      <c r="AO65" s="28">
        <f>IF(AO10&gt;0, (AO$30*VALORI!$B$4)+(AO$31*VALORI!$B$4)+(AO$32*VALORI!$B$3)+(AO$33*VALORI!$B$5),0)</f>
        <v>0</v>
      </c>
      <c r="AQ65" s="28">
        <f>IF(AQ10&gt;0, (AQ$30*VALORI!$B$4)+(AQ$31*VALORI!$B$4)+(AQ$32*VALORI!$B$3)+(AQ$33*VALORI!$B$5),0)</f>
        <v>0</v>
      </c>
      <c r="AR65" s="28">
        <f>IF(AR10&gt;0, (AR$30*VALORI!$B$4)+(AR$31*VALORI!$B$4)+(AR$32*VALORI!$B$3)+(AR$33*VALORI!$B$5),0)</f>
        <v>0</v>
      </c>
      <c r="AS65" s="28">
        <f>IF(AS10&gt;0, (AS$30*VALORI!$B$4)+(AS$31*VALORI!$B$4)+(AS$32*VALORI!$B$3)+(AS$33*VALORI!$B$5),0)</f>
        <v>0</v>
      </c>
      <c r="AT65" s="28">
        <f>IF(AT10&gt;0, (AT$30*VALORI!$B$4)+(AT$31*VALORI!$B$4)+(AT$32*VALORI!$B$3)+(AT$33*VALORI!$B$5),0)</f>
        <v>0</v>
      </c>
    </row>
    <row r="66" spans="23:46" ht="15.75" x14ac:dyDescent="0.25">
      <c r="W66" s="28">
        <f>IF(W11&gt;0, (W$30*VALORI!$B$4)+(W$31*VALORI!$B$4)+(W$32*VALORI!$B$3)+(W$33*VALORI!$B$5),0)</f>
        <v>0</v>
      </c>
      <c r="X66" s="28">
        <f>IF(X11&gt;0, (X$30*VALORI!$B$4)+(X$31*VALORI!$B$4)+(X$32*VALORI!$B$3)+(X$33*VALORI!$B$5),0)</f>
        <v>0</v>
      </c>
      <c r="Y66" s="28">
        <f>IF(Y11&gt;0, (Y$30*VALORI!$B$4)+(Y$31*VALORI!$B$4)+(Y$32*VALORI!$B$3)+(Y$33*VALORI!$B$5),0)</f>
        <v>0</v>
      </c>
      <c r="Z66" s="28">
        <f>IF(Z11&gt;0, (Z$30*VALORI!$B$4)+(Z$31*VALORI!$B$4)+(Z$32*VALORI!$B$3)+(Z$33*VALORI!$B$5),0)</f>
        <v>0</v>
      </c>
      <c r="AA66" s="28">
        <f>IF(AA11&gt;0, (AA$30*VALORI!$B$4)+(AA$31*VALORI!$B$4)+(AA$32*VALORI!$B$3)+(AA$33*VALORI!$B$5),0)</f>
        <v>0</v>
      </c>
      <c r="AB66" s="28">
        <f>IF(AB11&gt;0, (AB$30*VALORI!$B$4)+(AB$31*VALORI!$B$4)+(AB$32*VALORI!$B$3)+(AB$33*VALORI!$B$5),0)</f>
        <v>0</v>
      </c>
      <c r="AC66" s="28">
        <f>IF(AC11&gt;0, (AC$30*VALORI!$B$4)+(AC$31*VALORI!$B$4)+(AC$32*VALORI!$B$3)+(AC$33*VALORI!$B$5),0)</f>
        <v>0</v>
      </c>
      <c r="AD66" s="28">
        <f>IF(AD11&gt;0, (AD$30*VALORI!$B$4)+(AD$31*VALORI!$B$4)+(AD$32*VALORI!$B$3)+(AD$33*VALORI!$B$5),0)</f>
        <v>0</v>
      </c>
      <c r="AE66" s="28">
        <f>IF(AE11&gt;0, (AE$30*VALORI!$B$4)+(AE$31*VALORI!$B$4)+(AE$32*VALORI!$B$3)+(AE$33*VALORI!$B$5),0)</f>
        <v>0</v>
      </c>
      <c r="AF66" s="28">
        <f>IF(AF11&gt;0, (AF$30*VALORI!$B$4)+(AF$31*VALORI!$B$4)+(AF$32*VALORI!$B$3)+(AF$33*VALORI!$B$5),0)</f>
        <v>0</v>
      </c>
      <c r="AG66" s="28">
        <f>IF(AG11&gt;0, (AG$30*VALORI!$B$4)+(AG$31*VALORI!$B$4)+(AG$32*VALORI!$B$3)+(AG$33*VALORI!$B$5),0)</f>
        <v>0</v>
      </c>
      <c r="AH66" s="28">
        <f>IF(AH11&gt;0, (AH$30*VALORI!$B$4)+(AH$31*VALORI!$B$4)+(AH$32*VALORI!$B$3)+(AH$33*VALORI!$B$5),0)</f>
        <v>0</v>
      </c>
      <c r="AI66" s="28">
        <f>IF(AI11&gt;0, (AI$30*VALORI!$B$4)+(AI$31*VALORI!$B$4)+(AI$32*VALORI!$B$3)+(AI$33*VALORI!$B$5),0)</f>
        <v>0</v>
      </c>
      <c r="AJ66" s="28">
        <f>IF(AJ11&gt;0, (AJ$30*VALORI!$B$4)+(AJ$31*VALORI!$B$4)+(AJ$32*VALORI!$B$3)+(AJ$33*VALORI!$B$5),0)</f>
        <v>0</v>
      </c>
      <c r="AK66" s="28">
        <f>IF(AK11&gt;0, (AK$30*VALORI!$B$4)+(AK$31*VALORI!$B$4)+(AK$32*VALORI!$B$3)+(AK$33*VALORI!$B$5),0)</f>
        <v>0</v>
      </c>
      <c r="AL66" s="28">
        <f>IF(AL11&gt;0, (AL$30*VALORI!$B$4)+(AL$31*VALORI!$B$4)+(AL$32*VALORI!$B$3)+(AL$33*VALORI!$B$5),0)</f>
        <v>0</v>
      </c>
      <c r="AM66" s="28">
        <f>IF(AM11&gt;0, (AM$30*VALORI!$B$4)+(AM$31*VALORI!$B$4)+(AM$32*VALORI!$B$3)+(AM$33*VALORI!$B$5),0)</f>
        <v>0</v>
      </c>
      <c r="AN66" s="28">
        <f>IF(AN11&gt;0, (AN$30*VALORI!$B$4)+(AN$31*VALORI!$B$4)+(AN$32*VALORI!$B$3)+(AN$33*VALORI!$B$5),0)</f>
        <v>0</v>
      </c>
      <c r="AO66" s="28">
        <f>IF(AO11&gt;0, (AO$30*VALORI!$B$4)+(AO$31*VALORI!$B$4)+(AO$32*VALORI!$B$3)+(AO$33*VALORI!$B$5),0)</f>
        <v>0</v>
      </c>
      <c r="AQ66" s="28">
        <f>IF(AQ11&gt;0, (AQ$30*VALORI!$B$4)+(AQ$31*VALORI!$B$4)+(AQ$32*VALORI!$B$3)+(AQ$33*VALORI!$B$5),0)</f>
        <v>0</v>
      </c>
      <c r="AR66" s="28">
        <f>IF(AR11&gt;0, (AR$30*VALORI!$B$4)+(AR$31*VALORI!$B$4)+(AR$32*VALORI!$B$3)+(AR$33*VALORI!$B$5),0)</f>
        <v>0</v>
      </c>
      <c r="AS66" s="28">
        <f>IF(AS11&gt;0, (AS$30*VALORI!$B$4)+(AS$31*VALORI!$B$4)+(AS$32*VALORI!$B$3)+(AS$33*VALORI!$B$5),0)</f>
        <v>0</v>
      </c>
      <c r="AT66" s="28">
        <f>IF(AT11&gt;0, (AT$30*VALORI!$B$4)+(AT$31*VALORI!$B$4)+(AT$32*VALORI!$B$3)+(AT$33*VALORI!$B$5),0)</f>
        <v>0</v>
      </c>
    </row>
    <row r="67" spans="23:46" ht="15.75" x14ac:dyDescent="0.25">
      <c r="W67" s="28">
        <f>IF(W12&gt;0, (W$30*VALORI!$B$4)+(W$31*VALORI!$B$4)+(W$32*VALORI!$B$3)+(W$33*VALORI!$B$5),0)</f>
        <v>0</v>
      </c>
      <c r="X67" s="28">
        <f>IF(X12&gt;0, (X$30*VALORI!$B$4)+(X$31*VALORI!$B$4)+(X$32*VALORI!$B$3)+(X$33*VALORI!$B$5),0)</f>
        <v>0</v>
      </c>
      <c r="Y67" s="28">
        <f>IF(Y12&gt;0, (Y$30*VALORI!$B$4)+(Y$31*VALORI!$B$4)+(Y$32*VALORI!$B$3)+(Y$33*VALORI!$B$5),0)</f>
        <v>0</v>
      </c>
      <c r="Z67" s="28">
        <f>IF(Z12&gt;0, (Z$30*VALORI!$B$4)+(Z$31*VALORI!$B$4)+(Z$32*VALORI!$B$3)+(Z$33*VALORI!$B$5),0)</f>
        <v>0</v>
      </c>
      <c r="AA67" s="28">
        <f>IF(AA12&gt;0, (AA$30*VALORI!$B$4)+(AA$31*VALORI!$B$4)+(AA$32*VALORI!$B$3)+(AA$33*VALORI!$B$5),0)</f>
        <v>0</v>
      </c>
      <c r="AB67" s="28">
        <f>IF(AB12&gt;0, (AB$30*VALORI!$B$4)+(AB$31*VALORI!$B$4)+(AB$32*VALORI!$B$3)+(AB$33*VALORI!$B$5),0)</f>
        <v>0</v>
      </c>
      <c r="AC67" s="28">
        <f>IF(AC12&gt;0, (AC$30*VALORI!$B$4)+(AC$31*VALORI!$B$4)+(AC$32*VALORI!$B$3)+(AC$33*VALORI!$B$5),0)</f>
        <v>0</v>
      </c>
      <c r="AD67" s="28">
        <f>IF(AD12&gt;0, (AD$30*VALORI!$B$4)+(AD$31*VALORI!$B$4)+(AD$32*VALORI!$B$3)+(AD$33*VALORI!$B$5),0)</f>
        <v>0</v>
      </c>
      <c r="AE67" s="28">
        <f>IF(AE12&gt;0, (AE$30*VALORI!$B$4)+(AE$31*VALORI!$B$4)+(AE$32*VALORI!$B$3)+(AE$33*VALORI!$B$5),0)</f>
        <v>0</v>
      </c>
      <c r="AF67" s="28">
        <f>IF(AF12&gt;0, (AF$30*VALORI!$B$4)+(AF$31*VALORI!$B$4)+(AF$32*VALORI!$B$3)+(AF$33*VALORI!$B$5),0)</f>
        <v>0</v>
      </c>
      <c r="AG67" s="28">
        <f>IF(AG12&gt;0, (AG$30*VALORI!$B$4)+(AG$31*VALORI!$B$4)+(AG$32*VALORI!$B$3)+(AG$33*VALORI!$B$5),0)</f>
        <v>0</v>
      </c>
      <c r="AH67" s="28">
        <f>IF(AH12&gt;0, (AH$30*VALORI!$B$4)+(AH$31*VALORI!$B$4)+(AH$32*VALORI!$B$3)+(AH$33*VALORI!$B$5),0)</f>
        <v>0</v>
      </c>
      <c r="AI67" s="28">
        <f>IF(AI12&gt;0, (AI$30*VALORI!$B$4)+(AI$31*VALORI!$B$4)+(AI$32*VALORI!$B$3)+(AI$33*VALORI!$B$5),0)</f>
        <v>0</v>
      </c>
      <c r="AJ67" s="28">
        <f>IF(AJ12&gt;0, (AJ$30*VALORI!$B$4)+(AJ$31*VALORI!$B$4)+(AJ$32*VALORI!$B$3)+(AJ$33*VALORI!$B$5),0)</f>
        <v>0</v>
      </c>
      <c r="AK67" s="28">
        <f>IF(AK12&gt;0, (AK$30*VALORI!$B$4)+(AK$31*VALORI!$B$4)+(AK$32*VALORI!$B$3)+(AK$33*VALORI!$B$5),0)</f>
        <v>0</v>
      </c>
      <c r="AL67" s="28">
        <f>IF(AL12&gt;0, (AL$30*VALORI!$B$4)+(AL$31*VALORI!$B$4)+(AL$32*VALORI!$B$3)+(AL$33*VALORI!$B$5),0)</f>
        <v>0</v>
      </c>
      <c r="AM67" s="28">
        <f>IF(AM12&gt;0, (AM$30*VALORI!$B$4)+(AM$31*VALORI!$B$4)+(AM$32*VALORI!$B$3)+(AM$33*VALORI!$B$5),0)</f>
        <v>0</v>
      </c>
      <c r="AN67" s="28">
        <f>IF(AN12&gt;0, (AN$30*VALORI!$B$4)+(AN$31*VALORI!$B$4)+(AN$32*VALORI!$B$3)+(AN$33*VALORI!$B$5),0)</f>
        <v>0</v>
      </c>
      <c r="AO67" s="28">
        <f>IF(AO12&gt;0, (AO$30*VALORI!$B$4)+(AO$31*VALORI!$B$4)+(AO$32*VALORI!$B$3)+(AO$33*VALORI!$B$5),0)</f>
        <v>0</v>
      </c>
      <c r="AQ67" s="28">
        <f>IF(AQ12&gt;0, (AQ$30*VALORI!$B$4)+(AQ$31*VALORI!$B$4)+(AQ$32*VALORI!$B$3)+(AQ$33*VALORI!$B$5),0)</f>
        <v>0</v>
      </c>
      <c r="AR67" s="28">
        <f>IF(AR12&gt;0, (AR$30*VALORI!$B$4)+(AR$31*VALORI!$B$4)+(AR$32*VALORI!$B$3)+(AR$33*VALORI!$B$5),0)</f>
        <v>0</v>
      </c>
      <c r="AS67" s="28">
        <f>IF(AS12&gt;0, (AS$30*VALORI!$B$4)+(AS$31*VALORI!$B$4)+(AS$32*VALORI!$B$3)+(AS$33*VALORI!$B$5),0)</f>
        <v>0</v>
      </c>
      <c r="AT67" s="28">
        <f>IF(AT12&gt;0, (AT$30*VALORI!$B$4)+(AT$31*VALORI!$B$4)+(AT$32*VALORI!$B$3)+(AT$33*VALORI!$B$5),0)</f>
        <v>0</v>
      </c>
    </row>
    <row r="68" spans="23:46" ht="15.75" x14ac:dyDescent="0.25">
      <c r="W68" s="28">
        <f>IF(W13&gt;0, (W$30*VALORI!$B$4)+(W$31*VALORI!$B$4)+(W$32*VALORI!$B$3)+(W$33*VALORI!$B$5),0)</f>
        <v>0</v>
      </c>
      <c r="X68" s="28">
        <f>IF(X13&gt;0, (X$30*VALORI!$B$4)+(X$31*VALORI!$B$4)+(X$32*VALORI!$B$3)+(X$33*VALORI!$B$5),0)</f>
        <v>0</v>
      </c>
      <c r="Y68" s="28">
        <f>IF(Y13&gt;0, (Y$30*VALORI!$B$4)+(Y$31*VALORI!$B$4)+(Y$32*VALORI!$B$3)+(Y$33*VALORI!$B$5),0)</f>
        <v>0</v>
      </c>
      <c r="Z68" s="28">
        <f>IF(Z13&gt;0, (Z$30*VALORI!$B$4)+(Z$31*VALORI!$B$4)+(Z$32*VALORI!$B$3)+(Z$33*VALORI!$B$5),0)</f>
        <v>0</v>
      </c>
      <c r="AA68" s="28">
        <f>IF(AA13&gt;0, (AA$30*VALORI!$B$4)+(AA$31*VALORI!$B$4)+(AA$32*VALORI!$B$3)+(AA$33*VALORI!$B$5),0)</f>
        <v>0</v>
      </c>
      <c r="AB68" s="28">
        <f>IF(AB13&gt;0, (AB$30*VALORI!$B$4)+(AB$31*VALORI!$B$4)+(AB$32*VALORI!$B$3)+(AB$33*VALORI!$B$5),0)</f>
        <v>0</v>
      </c>
      <c r="AC68" s="28">
        <f>IF(AC13&gt;0, (AC$30*VALORI!$B$4)+(AC$31*VALORI!$B$4)+(AC$32*VALORI!$B$3)+(AC$33*VALORI!$B$5),0)</f>
        <v>0</v>
      </c>
      <c r="AD68" s="28">
        <f>IF(AD13&gt;0, (AD$30*VALORI!$B$4)+(AD$31*VALORI!$B$4)+(AD$32*VALORI!$B$3)+(AD$33*VALORI!$B$5),0)</f>
        <v>0</v>
      </c>
      <c r="AE68" s="28">
        <f>IF(AE13&gt;0, (AE$30*VALORI!$B$4)+(AE$31*VALORI!$B$4)+(AE$32*VALORI!$B$3)+(AE$33*VALORI!$B$5),0)</f>
        <v>0</v>
      </c>
      <c r="AF68" s="28">
        <f>IF(AF13&gt;0, (AF$30*VALORI!$B$4)+(AF$31*VALORI!$B$4)+(AF$32*VALORI!$B$3)+(AF$33*VALORI!$B$5),0)</f>
        <v>0</v>
      </c>
      <c r="AG68" s="28">
        <f>IF(AG13&gt;0, (AG$30*VALORI!$B$4)+(AG$31*VALORI!$B$4)+(AG$32*VALORI!$B$3)+(AG$33*VALORI!$B$5),0)</f>
        <v>0</v>
      </c>
      <c r="AH68" s="28">
        <f>IF(AH13&gt;0, (AH$30*VALORI!$B$4)+(AH$31*VALORI!$B$4)+(AH$32*VALORI!$B$3)+(AH$33*VALORI!$B$5),0)</f>
        <v>0</v>
      </c>
      <c r="AI68" s="28">
        <f>IF(AI13&gt;0, (AI$30*VALORI!$B$4)+(AI$31*VALORI!$B$4)+(AI$32*VALORI!$B$3)+(AI$33*VALORI!$B$5),0)</f>
        <v>0</v>
      </c>
      <c r="AJ68" s="28">
        <f>IF(AJ13&gt;0, (AJ$30*VALORI!$B$4)+(AJ$31*VALORI!$B$4)+(AJ$32*VALORI!$B$3)+(AJ$33*VALORI!$B$5),0)</f>
        <v>0</v>
      </c>
      <c r="AK68" s="28">
        <f>IF(AK13&gt;0, (AK$30*VALORI!$B$4)+(AK$31*VALORI!$B$4)+(AK$32*VALORI!$B$3)+(AK$33*VALORI!$B$5),0)</f>
        <v>0</v>
      </c>
      <c r="AL68" s="28">
        <f>IF(AL13&gt;0, (AL$30*VALORI!$B$4)+(AL$31*VALORI!$B$4)+(AL$32*VALORI!$B$3)+(AL$33*VALORI!$B$5),0)</f>
        <v>0</v>
      </c>
      <c r="AM68" s="28">
        <f>IF(AM13&gt;0, (AM$30*VALORI!$B$4)+(AM$31*VALORI!$B$4)+(AM$32*VALORI!$B$3)+(AM$33*VALORI!$B$5),0)</f>
        <v>0</v>
      </c>
      <c r="AN68" s="28">
        <f>IF(AN13&gt;0, (AN$30*VALORI!$B$4)+(AN$31*VALORI!$B$4)+(AN$32*VALORI!$B$3)+(AN$33*VALORI!$B$5),0)</f>
        <v>0</v>
      </c>
      <c r="AO68" s="28">
        <f>IF(AO13&gt;0, (AO$30*VALORI!$B$4)+(AO$31*VALORI!$B$4)+(AO$32*VALORI!$B$3)+(AO$33*VALORI!$B$5),0)</f>
        <v>0</v>
      </c>
      <c r="AQ68" s="28">
        <f>IF(AQ13&gt;0, (AQ$30*VALORI!$B$4)+(AQ$31*VALORI!$B$4)+(AQ$32*VALORI!$B$3)+(AQ$33*VALORI!$B$5),0)</f>
        <v>0</v>
      </c>
      <c r="AR68" s="28">
        <f>IF(AR13&gt;0, (AR$30*VALORI!$B$4)+(AR$31*VALORI!$B$4)+(AR$32*VALORI!$B$3)+(AR$33*VALORI!$B$5),0)</f>
        <v>0</v>
      </c>
      <c r="AS68" s="28">
        <f>IF(AS13&gt;0, (AS$30*VALORI!$B$4)+(AS$31*VALORI!$B$4)+(AS$32*VALORI!$B$3)+(AS$33*VALORI!$B$5),0)</f>
        <v>0</v>
      </c>
      <c r="AT68" s="28">
        <f>IF(AT13&gt;0, (AT$30*VALORI!$B$4)+(AT$31*VALORI!$B$4)+(AT$32*VALORI!$B$3)+(AT$33*VALORI!$B$5),0)</f>
        <v>0</v>
      </c>
    </row>
    <row r="69" spans="23:46" ht="15.75" x14ac:dyDescent="0.25">
      <c r="W69" s="28">
        <f>IF(W14&gt;0, (W$30*VALORI!$B$4)+(W$31*VALORI!$B$4)+(W$32*VALORI!$B$3)+(W$33*VALORI!$B$5),0)</f>
        <v>0</v>
      </c>
      <c r="X69" s="28">
        <f>IF(X14&gt;0, (X$30*VALORI!$B$4)+(X$31*VALORI!$B$4)+(X$32*VALORI!$B$3)+(X$33*VALORI!$B$5),0)</f>
        <v>0</v>
      </c>
      <c r="Y69" s="28">
        <f>IF(Y14&gt;0, (Y$30*VALORI!$B$4)+(Y$31*VALORI!$B$4)+(Y$32*VALORI!$B$3)+(Y$33*VALORI!$B$5),0)</f>
        <v>0</v>
      </c>
      <c r="Z69" s="28">
        <f>IF(Z14&gt;0, (Z$30*VALORI!$B$4)+(Z$31*VALORI!$B$4)+(Z$32*VALORI!$B$3)+(Z$33*VALORI!$B$5),0)</f>
        <v>0</v>
      </c>
      <c r="AA69" s="28">
        <f>IF(AA14&gt;0, (AA$30*VALORI!$B$4)+(AA$31*VALORI!$B$4)+(AA$32*VALORI!$B$3)+(AA$33*VALORI!$B$5),0)</f>
        <v>0</v>
      </c>
      <c r="AB69" s="28">
        <f>IF(AB14&gt;0, (AB$30*VALORI!$B$4)+(AB$31*VALORI!$B$4)+(AB$32*VALORI!$B$3)+(AB$33*VALORI!$B$5),0)</f>
        <v>0</v>
      </c>
      <c r="AC69" s="28">
        <f>IF(AC14&gt;0, (AC$30*VALORI!$B$4)+(AC$31*VALORI!$B$4)+(AC$32*VALORI!$B$3)+(AC$33*VALORI!$B$5),0)</f>
        <v>0</v>
      </c>
      <c r="AD69" s="28">
        <f>IF(AD14&gt;0, (AD$30*VALORI!$B$4)+(AD$31*VALORI!$B$4)+(AD$32*VALORI!$B$3)+(AD$33*VALORI!$B$5),0)</f>
        <v>0</v>
      </c>
      <c r="AE69" s="28">
        <f>IF(AE14&gt;0, (AE$30*VALORI!$B$4)+(AE$31*VALORI!$B$4)+(AE$32*VALORI!$B$3)+(AE$33*VALORI!$B$5),0)</f>
        <v>0</v>
      </c>
      <c r="AF69" s="28">
        <f>IF(AF14&gt;0, (AF$30*VALORI!$B$4)+(AF$31*VALORI!$B$4)+(AF$32*VALORI!$B$3)+(AF$33*VALORI!$B$5),0)</f>
        <v>0</v>
      </c>
      <c r="AG69" s="28">
        <f>IF(AG14&gt;0, (AG$30*VALORI!$B$4)+(AG$31*VALORI!$B$4)+(AG$32*VALORI!$B$3)+(AG$33*VALORI!$B$5),0)</f>
        <v>0</v>
      </c>
      <c r="AH69" s="28">
        <f>IF(AH14&gt;0, (AH$30*VALORI!$B$4)+(AH$31*VALORI!$B$4)+(AH$32*VALORI!$B$3)+(AH$33*VALORI!$B$5),0)</f>
        <v>0</v>
      </c>
      <c r="AI69" s="28">
        <f>IF(AI14&gt;0, (AI$30*VALORI!$B$4)+(AI$31*VALORI!$B$4)+(AI$32*VALORI!$B$3)+(AI$33*VALORI!$B$5),0)</f>
        <v>0</v>
      </c>
      <c r="AJ69" s="28">
        <f>IF(AJ14&gt;0, (AJ$30*VALORI!$B$4)+(AJ$31*VALORI!$B$4)+(AJ$32*VALORI!$B$3)+(AJ$33*VALORI!$B$5),0)</f>
        <v>0</v>
      </c>
      <c r="AK69" s="28">
        <f>IF(AK14&gt;0, (AK$30*VALORI!$B$4)+(AK$31*VALORI!$B$4)+(AK$32*VALORI!$B$3)+(AK$33*VALORI!$B$5),0)</f>
        <v>0</v>
      </c>
      <c r="AL69" s="28">
        <f>IF(AL14&gt;0, (AL$30*VALORI!$B$4)+(AL$31*VALORI!$B$4)+(AL$32*VALORI!$B$3)+(AL$33*VALORI!$B$5),0)</f>
        <v>0</v>
      </c>
      <c r="AM69" s="28">
        <f>IF(AM14&gt;0, (AM$30*VALORI!$B$4)+(AM$31*VALORI!$B$4)+(AM$32*VALORI!$B$3)+(AM$33*VALORI!$B$5),0)</f>
        <v>0</v>
      </c>
      <c r="AN69" s="28">
        <f>IF(AN14&gt;0, (AN$30*VALORI!$B$4)+(AN$31*VALORI!$B$4)+(AN$32*VALORI!$B$3)+(AN$33*VALORI!$B$5),0)</f>
        <v>0</v>
      </c>
      <c r="AO69" s="28">
        <f>IF(AO14&gt;0, (AO$30*VALORI!$B$4)+(AO$31*VALORI!$B$4)+(AO$32*VALORI!$B$3)+(AO$33*VALORI!$B$5),0)</f>
        <v>0</v>
      </c>
      <c r="AQ69" s="28">
        <f>IF(AQ14&gt;0, (AQ$30*VALORI!$B$4)+(AQ$31*VALORI!$B$4)+(AQ$32*VALORI!$B$3)+(AQ$33*VALORI!$B$5),0)</f>
        <v>0</v>
      </c>
      <c r="AR69" s="28">
        <f>IF(AR14&gt;0, (AR$30*VALORI!$B$4)+(AR$31*VALORI!$B$4)+(AR$32*VALORI!$B$3)+(AR$33*VALORI!$B$5),0)</f>
        <v>0</v>
      </c>
      <c r="AS69" s="28">
        <f>IF(AS14&gt;0, (AS$30*VALORI!$B$4)+(AS$31*VALORI!$B$4)+(AS$32*VALORI!$B$3)+(AS$33*VALORI!$B$5),0)</f>
        <v>0</v>
      </c>
      <c r="AT69" s="28">
        <f>IF(AT14&gt;0, (AT$30*VALORI!$B$4)+(AT$31*VALORI!$B$4)+(AT$32*VALORI!$B$3)+(AT$33*VALORI!$B$5),0)</f>
        <v>0</v>
      </c>
    </row>
    <row r="70" spans="23:46" ht="15.75" x14ac:dyDescent="0.25">
      <c r="W70" s="28">
        <f>IF(W15&gt;0, (W$30*VALORI!$B$4)+(W$31*VALORI!$B$4)+(W$32*VALORI!$B$3)+(W$33*VALORI!$B$5),0)</f>
        <v>0</v>
      </c>
      <c r="X70" s="28">
        <f>IF(X15&gt;0, (X$30*VALORI!$B$4)+(X$31*VALORI!$B$4)+(X$32*VALORI!$B$3)+(X$33*VALORI!$B$5),0)</f>
        <v>0</v>
      </c>
      <c r="Y70" s="28">
        <f>IF(Y15&gt;0, (Y$30*VALORI!$B$4)+(Y$31*VALORI!$B$4)+(Y$32*VALORI!$B$3)+(Y$33*VALORI!$B$5),0)</f>
        <v>0</v>
      </c>
      <c r="Z70" s="28">
        <f>IF(Z15&gt;0, (Z$30*VALORI!$B$4)+(Z$31*VALORI!$B$4)+(Z$32*VALORI!$B$3)+(Z$33*VALORI!$B$5),0)</f>
        <v>0</v>
      </c>
      <c r="AA70" s="28">
        <f>IF(AA15&gt;0, (AA$30*VALORI!$B$4)+(AA$31*VALORI!$B$4)+(AA$32*VALORI!$B$3)+(AA$33*VALORI!$B$5),0)</f>
        <v>0</v>
      </c>
      <c r="AB70" s="28">
        <f>IF(AB15&gt;0, (AB$30*VALORI!$B$4)+(AB$31*VALORI!$B$4)+(AB$32*VALORI!$B$3)+(AB$33*VALORI!$B$5),0)</f>
        <v>0</v>
      </c>
      <c r="AC70" s="28">
        <f>IF(AC15&gt;0, (AC$30*VALORI!$B$4)+(AC$31*VALORI!$B$4)+(AC$32*VALORI!$B$3)+(AC$33*VALORI!$B$5),0)</f>
        <v>0</v>
      </c>
      <c r="AD70" s="28">
        <f>IF(AD15&gt;0, (AD$30*VALORI!$B$4)+(AD$31*VALORI!$B$4)+(AD$32*VALORI!$B$3)+(AD$33*VALORI!$B$5),0)</f>
        <v>0</v>
      </c>
      <c r="AE70" s="28">
        <f>IF(AE15&gt;0, (AE$30*VALORI!$B$4)+(AE$31*VALORI!$B$4)+(AE$32*VALORI!$B$3)+(AE$33*VALORI!$B$5),0)</f>
        <v>0</v>
      </c>
      <c r="AF70" s="28">
        <f>IF(AF15&gt;0, (AF$30*VALORI!$B$4)+(AF$31*VALORI!$B$4)+(AF$32*VALORI!$B$3)+(AF$33*VALORI!$B$5),0)</f>
        <v>0</v>
      </c>
      <c r="AG70" s="28">
        <f>IF(AG15&gt;0, (AG$30*VALORI!$B$4)+(AG$31*VALORI!$B$4)+(AG$32*VALORI!$B$3)+(AG$33*VALORI!$B$5),0)</f>
        <v>0</v>
      </c>
      <c r="AH70" s="28">
        <f>IF(AH15&gt;0, (AH$30*VALORI!$B$4)+(AH$31*VALORI!$B$4)+(AH$32*VALORI!$B$3)+(AH$33*VALORI!$B$5),0)</f>
        <v>0</v>
      </c>
      <c r="AI70" s="28">
        <f>IF(AI15&gt;0, (AI$30*VALORI!$B$4)+(AI$31*VALORI!$B$4)+(AI$32*VALORI!$B$3)+(AI$33*VALORI!$B$5),0)</f>
        <v>0</v>
      </c>
      <c r="AJ70" s="28">
        <f>IF(AJ15&gt;0, (AJ$30*VALORI!$B$4)+(AJ$31*VALORI!$B$4)+(AJ$32*VALORI!$B$3)+(AJ$33*VALORI!$B$5),0)</f>
        <v>0</v>
      </c>
      <c r="AK70" s="28">
        <f>IF(AK15&gt;0, (AK$30*VALORI!$B$4)+(AK$31*VALORI!$B$4)+(AK$32*VALORI!$B$3)+(AK$33*VALORI!$B$5),0)</f>
        <v>0</v>
      </c>
      <c r="AL70" s="28">
        <f>IF(AL15&gt;0, (AL$30*VALORI!$B$4)+(AL$31*VALORI!$B$4)+(AL$32*VALORI!$B$3)+(AL$33*VALORI!$B$5),0)</f>
        <v>0</v>
      </c>
      <c r="AM70" s="28">
        <f>IF(AM15&gt;0, (AM$30*VALORI!$B$4)+(AM$31*VALORI!$B$4)+(AM$32*VALORI!$B$3)+(AM$33*VALORI!$B$5),0)</f>
        <v>0</v>
      </c>
      <c r="AN70" s="28">
        <f>IF(AN15&gt;0, (AN$30*VALORI!$B$4)+(AN$31*VALORI!$B$4)+(AN$32*VALORI!$B$3)+(AN$33*VALORI!$B$5),0)</f>
        <v>0</v>
      </c>
      <c r="AO70" s="28">
        <f>IF(AO15&gt;0, (AO$30*VALORI!$B$4)+(AO$31*VALORI!$B$4)+(AO$32*VALORI!$B$3)+(AO$33*VALORI!$B$5),0)</f>
        <v>0</v>
      </c>
      <c r="AQ70" s="28">
        <f>IF(AQ15&gt;0, (AQ$30*VALORI!$B$4)+(AQ$31*VALORI!$B$4)+(AQ$32*VALORI!$B$3)+(AQ$33*VALORI!$B$5),0)</f>
        <v>0</v>
      </c>
      <c r="AR70" s="28">
        <f>IF(AR15&gt;0, (AR$30*VALORI!$B$4)+(AR$31*VALORI!$B$4)+(AR$32*VALORI!$B$3)+(AR$33*VALORI!$B$5),0)</f>
        <v>0</v>
      </c>
      <c r="AS70" s="28">
        <f>IF(AS15&gt;0, (AS$30*VALORI!$B$4)+(AS$31*VALORI!$B$4)+(AS$32*VALORI!$B$3)+(AS$33*VALORI!$B$5),0)</f>
        <v>0</v>
      </c>
      <c r="AT70" s="28">
        <f>IF(AT15&gt;0, (AT$30*VALORI!$B$4)+(AT$31*VALORI!$B$4)+(AT$32*VALORI!$B$3)+(AT$33*VALORI!$B$5),0)</f>
        <v>0</v>
      </c>
    </row>
    <row r="71" spans="23:46" ht="15.75" x14ac:dyDescent="0.25">
      <c r="W71" s="28">
        <f>IF(W25&gt;0, (W$30*VALORI!$B$4)+(W$31*VALORI!$B$4)+(W$32*VALORI!$B$3)+(W$33*VALORI!$B$5),0)</f>
        <v>0</v>
      </c>
      <c r="X71" s="28">
        <f>IF(X25&gt;0, (X$30*VALORI!$B$4)+(X$31*VALORI!$B$4)+(X$32*VALORI!$B$3)+(X$33*VALORI!$B$5),0)</f>
        <v>0</v>
      </c>
      <c r="Y71" s="28">
        <f>IF(Y25&gt;0, (Y$30*VALORI!$B$4)+(Y$31*VALORI!$B$4)+(Y$32*VALORI!$B$3)+(Y$33*VALORI!$B$5),0)</f>
        <v>0</v>
      </c>
      <c r="Z71" s="28">
        <f>IF(Z25&gt;0, (Z$30*VALORI!$B$4)+(Z$31*VALORI!$B$4)+(Z$32*VALORI!$B$3)+(Z$33*VALORI!$B$5),0)</f>
        <v>0</v>
      </c>
      <c r="AA71" s="28">
        <f>IF(AA25&gt;0, (AA$30*VALORI!$B$4)+(AA$31*VALORI!$B$4)+(AA$32*VALORI!$B$3)+(AA$33*VALORI!$B$5),0)</f>
        <v>0</v>
      </c>
      <c r="AB71" s="28">
        <f>IF(AB25&gt;0, (AB$30*VALORI!$B$4)+(AB$31*VALORI!$B$4)+(AB$32*VALORI!$B$3)+(AB$33*VALORI!$B$5),0)</f>
        <v>0</v>
      </c>
      <c r="AC71" s="28">
        <f>IF(AC25&gt;0, (AC$30*VALORI!$B$4)+(AC$31*VALORI!$B$4)+(AC$32*VALORI!$B$3)+(AC$33*VALORI!$B$5),0)</f>
        <v>0</v>
      </c>
      <c r="AD71" s="28">
        <f>IF(AD25&gt;0, (AD$30*VALORI!$B$4)+(AD$31*VALORI!$B$4)+(AD$32*VALORI!$B$3)+(AD$33*VALORI!$B$5),0)</f>
        <v>0</v>
      </c>
      <c r="AE71" s="28">
        <f>IF(AE25&gt;0, (AE$30*VALORI!$B$4)+(AE$31*VALORI!$B$4)+(AE$32*VALORI!$B$3)+(AE$33*VALORI!$B$5),0)</f>
        <v>0</v>
      </c>
      <c r="AF71" s="28">
        <f>IF(AF25&gt;0, (AF$30*VALORI!$B$4)+(AF$31*VALORI!$B$4)+(AF$32*VALORI!$B$3)+(AF$33*VALORI!$B$5),0)</f>
        <v>0</v>
      </c>
      <c r="AG71" s="28">
        <f>IF(AG25&gt;0, (AG$30*VALORI!$B$4)+(AG$31*VALORI!$B$4)+(AG$32*VALORI!$B$3)+(AG$33*VALORI!$B$5),0)</f>
        <v>0</v>
      </c>
      <c r="AH71" s="28">
        <f>IF(AH25&gt;0, (AH$30*VALORI!$B$4)+(AH$31*VALORI!$B$4)+(AH$32*VALORI!$B$3)+(AH$33*VALORI!$B$5),0)</f>
        <v>0</v>
      </c>
      <c r="AI71" s="28">
        <f>IF(AI25&gt;0, (AI$30*VALORI!$B$4)+(AI$31*VALORI!$B$4)+(AI$32*VALORI!$B$3)+(AI$33*VALORI!$B$5),0)</f>
        <v>0</v>
      </c>
      <c r="AJ71" s="28">
        <f>IF(AJ25&gt;0, (AJ$30*VALORI!$B$4)+(AJ$31*VALORI!$B$4)+(AJ$32*VALORI!$B$3)+(AJ$33*VALORI!$B$5),0)</f>
        <v>0</v>
      </c>
      <c r="AK71" s="28">
        <f>IF(AK25&gt;0, (AK$30*VALORI!$B$4)+(AK$31*VALORI!$B$4)+(AK$32*VALORI!$B$3)+(AK$33*VALORI!$B$5),0)</f>
        <v>0</v>
      </c>
      <c r="AL71" s="28">
        <f>IF(AL25&gt;0, (AL$30*VALORI!$B$4)+(AL$31*VALORI!$B$4)+(AL$32*VALORI!$B$3)+(AL$33*VALORI!$B$5),0)</f>
        <v>0</v>
      </c>
      <c r="AM71" s="28">
        <f>IF(AM25&gt;0, (AM$30*VALORI!$B$4)+(AM$31*VALORI!$B$4)+(AM$32*VALORI!$B$3)+(AM$33*VALORI!$B$5),0)</f>
        <v>0</v>
      </c>
      <c r="AN71" s="28">
        <f>IF(AN25&gt;0, (AN$30*VALORI!$B$4)+(AN$31*VALORI!$B$4)+(AN$32*VALORI!$B$3)+(AN$33*VALORI!$B$5),0)</f>
        <v>0</v>
      </c>
      <c r="AO71" s="28">
        <f>IF(AO25&gt;0, (AO$30*VALORI!$B$4)+(AO$31*VALORI!$B$4)+(AO$32*VALORI!$B$3)+(AO$33*VALORI!$B$5),0)</f>
        <v>0</v>
      </c>
      <c r="AQ71" s="28">
        <f>IF(AQ25&gt;0, (AQ$30*VALORI!$B$4)+(AQ$31*VALORI!$B$4)+(AQ$32*VALORI!$B$3)+(AQ$33*VALORI!$B$5),0)</f>
        <v>0</v>
      </c>
      <c r="AR71" s="28">
        <f>IF(AR25&gt;0, (AR$30*VALORI!$B$4)+(AR$31*VALORI!$B$4)+(AR$32*VALORI!$B$3)+(AR$33*VALORI!$B$5),0)</f>
        <v>0</v>
      </c>
      <c r="AS71" s="28">
        <f>IF(AS25&gt;0, (AS$30*VALORI!$B$4)+(AS$31*VALORI!$B$4)+(AS$32*VALORI!$B$3)+(AS$33*VALORI!$B$5),0)</f>
        <v>0</v>
      </c>
      <c r="AT71" s="28">
        <f>IF(AT25&gt;0, (AT$30*VALORI!$B$4)+(AT$31*VALORI!$B$4)+(AT$32*VALORI!$B$3)+(AT$33*VALORI!$B$5),0)</f>
        <v>0</v>
      </c>
    </row>
    <row r="72" spans="23:46" ht="15.75" x14ac:dyDescent="0.25">
      <c r="W72" s="28">
        <f>IF(W26&gt;0, (W$30*VALORI!$B$4)+(W$31*VALORI!$B$4)+(W$32*VALORI!$B$3)+(W$33*VALORI!$B$5),0)</f>
        <v>0</v>
      </c>
      <c r="X72" s="28">
        <f>IF(X26&gt;0, (X$30*VALORI!$B$4)+(X$31*VALORI!$B$4)+(X$32*VALORI!$B$3)+(X$33*VALORI!$B$5),0)</f>
        <v>0</v>
      </c>
      <c r="Y72" s="28">
        <f>IF(Y26&gt;0, (Y$30*VALORI!$B$4)+(Y$31*VALORI!$B$4)+(Y$32*VALORI!$B$3)+(Y$33*VALORI!$B$5),0)</f>
        <v>0</v>
      </c>
      <c r="Z72" s="28">
        <f>IF(Z26&gt;0, (Z$30*VALORI!$B$4)+(Z$31*VALORI!$B$4)+(Z$32*VALORI!$B$3)+(Z$33*VALORI!$B$5),0)</f>
        <v>0</v>
      </c>
      <c r="AA72" s="28">
        <f>IF(AA26&gt;0, (AA$30*VALORI!$B$4)+(AA$31*VALORI!$B$4)+(AA$32*VALORI!$B$3)+(AA$33*VALORI!$B$5),0)</f>
        <v>0</v>
      </c>
      <c r="AB72" s="28">
        <f>IF(AB26&gt;0, (AB$30*VALORI!$B$4)+(AB$31*VALORI!$B$4)+(AB$32*VALORI!$B$3)+(AB$33*VALORI!$B$5),0)</f>
        <v>0</v>
      </c>
      <c r="AC72" s="28">
        <f>IF(AC26&gt;0, (AC$30*VALORI!$B$4)+(AC$31*VALORI!$B$4)+(AC$32*VALORI!$B$3)+(AC$33*VALORI!$B$5),0)</f>
        <v>0</v>
      </c>
      <c r="AD72" s="28">
        <f>IF(AD26&gt;0, (AD$30*VALORI!$B$4)+(AD$31*VALORI!$B$4)+(AD$32*VALORI!$B$3)+(AD$33*VALORI!$B$5),0)</f>
        <v>0</v>
      </c>
      <c r="AE72" s="28">
        <f>IF(AE26&gt;0, (AE$30*VALORI!$B$4)+(AE$31*VALORI!$B$4)+(AE$32*VALORI!$B$3)+(AE$33*VALORI!$B$5),0)</f>
        <v>0</v>
      </c>
      <c r="AF72" s="28">
        <f>IF(AF26&gt;0, (AF$30*VALORI!$B$4)+(AF$31*VALORI!$B$4)+(AF$32*VALORI!$B$3)+(AF$33*VALORI!$B$5),0)</f>
        <v>0</v>
      </c>
      <c r="AG72" s="28">
        <f>IF(AG26&gt;0, (AG$30*VALORI!$B$4)+(AG$31*VALORI!$B$4)+(AG$32*VALORI!$B$3)+(AG$33*VALORI!$B$5),0)</f>
        <v>0</v>
      </c>
      <c r="AH72" s="28">
        <f>IF(AH26&gt;0, (AH$30*VALORI!$B$4)+(AH$31*VALORI!$B$4)+(AH$32*VALORI!$B$3)+(AH$33*VALORI!$B$5),0)</f>
        <v>0</v>
      </c>
      <c r="AI72" s="28">
        <f>IF(AI26&gt;0, (AI$30*VALORI!$B$4)+(AI$31*VALORI!$B$4)+(AI$32*VALORI!$B$3)+(AI$33*VALORI!$B$5),0)</f>
        <v>0</v>
      </c>
      <c r="AJ72" s="28">
        <f>IF(AJ26&gt;0, (AJ$30*VALORI!$B$4)+(AJ$31*VALORI!$B$4)+(AJ$32*VALORI!$B$3)+(AJ$33*VALORI!$B$5),0)</f>
        <v>0</v>
      </c>
      <c r="AK72" s="28">
        <f>IF(AK26&gt;0, (AK$30*VALORI!$B$4)+(AK$31*VALORI!$B$4)+(AK$32*VALORI!$B$3)+(AK$33*VALORI!$B$5),0)</f>
        <v>0</v>
      </c>
      <c r="AL72" s="28">
        <f>IF(AL26&gt;0, (AL$30*VALORI!$B$4)+(AL$31*VALORI!$B$4)+(AL$32*VALORI!$B$3)+(AL$33*VALORI!$B$5),0)</f>
        <v>0</v>
      </c>
      <c r="AM72" s="28">
        <f>IF(AM26&gt;0, (AM$30*VALORI!$B$4)+(AM$31*VALORI!$B$4)+(AM$32*VALORI!$B$3)+(AM$33*VALORI!$B$5),0)</f>
        <v>0</v>
      </c>
      <c r="AN72" s="28">
        <f>IF(AN26&gt;0, (AN$30*VALORI!$B$4)+(AN$31*VALORI!$B$4)+(AN$32*VALORI!$B$3)+(AN$33*VALORI!$B$5),0)</f>
        <v>0</v>
      </c>
      <c r="AO72" s="28">
        <f>IF(AO26&gt;0, (AO$30*VALORI!$B$4)+(AO$31*VALORI!$B$4)+(AO$32*VALORI!$B$3)+(AO$33*VALORI!$B$5),0)</f>
        <v>0</v>
      </c>
      <c r="AQ72" s="28">
        <f>IF(AQ26&gt;0, (AQ$30*VALORI!$B$4)+(AQ$31*VALORI!$B$4)+(AQ$32*VALORI!$B$3)+(AQ$33*VALORI!$B$5),0)</f>
        <v>0</v>
      </c>
      <c r="AR72" s="28">
        <f>IF(AR26&gt;0, (AR$30*VALORI!$B$4)+(AR$31*VALORI!$B$4)+(AR$32*VALORI!$B$3)+(AR$33*VALORI!$B$5),0)</f>
        <v>0</v>
      </c>
      <c r="AS72" s="28">
        <f>IF(AS26&gt;0, (AS$30*VALORI!$B$4)+(AS$31*VALORI!$B$4)+(AS$32*VALORI!$B$3)+(AS$33*VALORI!$B$5),0)</f>
        <v>0</v>
      </c>
      <c r="AT72" s="28">
        <f>IF(AT26&gt;0, (AT$30*VALORI!$B$4)+(AT$31*VALORI!$B$4)+(AT$32*VALORI!$B$3)+(AT$33*VALORI!$B$5),0)</f>
        <v>0</v>
      </c>
    </row>
    <row r="73" spans="23:46" ht="15.75" x14ac:dyDescent="0.25">
      <c r="W73" s="28">
        <f>IF(W27&gt;0, (W$30*VALORI!$B$4)+(W$31*VALORI!$B$4)+(W$32*VALORI!$B$3)+(W$33*VALORI!$B$5),0)</f>
        <v>0</v>
      </c>
      <c r="X73" s="28">
        <f>IF(X27&gt;0, (X$30*VALORI!$B$4)+(X$31*VALORI!$B$4)+(X$32*VALORI!$B$3)+(X$33*VALORI!$B$5),0)</f>
        <v>0</v>
      </c>
      <c r="Y73" s="28">
        <f>IF(Y27&gt;0, (Y$30*VALORI!$B$4)+(Y$31*VALORI!$B$4)+(Y$32*VALORI!$B$3)+(Y$33*VALORI!$B$5),0)</f>
        <v>0</v>
      </c>
      <c r="Z73" s="28">
        <f>IF(Z27&gt;0, (Z$30*VALORI!$B$4)+(Z$31*VALORI!$B$4)+(Z$32*VALORI!$B$3)+(Z$33*VALORI!$B$5),0)</f>
        <v>0</v>
      </c>
      <c r="AA73" s="28">
        <f>IF(AA27&gt;0, (AA$30*VALORI!$B$4)+(AA$31*VALORI!$B$4)+(AA$32*VALORI!$B$3)+(AA$33*VALORI!$B$5),0)</f>
        <v>0</v>
      </c>
      <c r="AB73" s="28">
        <f>IF(AB27&gt;0, (AB$30*VALORI!$B$4)+(AB$31*VALORI!$B$4)+(AB$32*VALORI!$B$3)+(AB$33*VALORI!$B$5),0)</f>
        <v>0</v>
      </c>
      <c r="AC73" s="28">
        <f>IF(AC27&gt;0, (AC$30*VALORI!$B$4)+(AC$31*VALORI!$B$4)+(AC$32*VALORI!$B$3)+(AC$33*VALORI!$B$5),0)</f>
        <v>0</v>
      </c>
      <c r="AD73" s="28">
        <f>IF(AD27&gt;0, (AD$30*VALORI!$B$4)+(AD$31*VALORI!$B$4)+(AD$32*VALORI!$B$3)+(AD$33*VALORI!$B$5),0)</f>
        <v>0</v>
      </c>
      <c r="AE73" s="28">
        <f>IF(AE27&gt;0, (AE$30*VALORI!$B$4)+(AE$31*VALORI!$B$4)+(AE$32*VALORI!$B$3)+(AE$33*VALORI!$B$5),0)</f>
        <v>0</v>
      </c>
      <c r="AF73" s="28">
        <f>IF(AF27&gt;0, (AF$30*VALORI!$B$4)+(AF$31*VALORI!$B$4)+(AF$32*VALORI!$B$3)+(AF$33*VALORI!$B$5),0)</f>
        <v>0</v>
      </c>
      <c r="AG73" s="28">
        <f>IF(AG27&gt;0, (AG$30*VALORI!$B$4)+(AG$31*VALORI!$B$4)+(AG$32*VALORI!$B$3)+(AG$33*VALORI!$B$5),0)</f>
        <v>0</v>
      </c>
      <c r="AH73" s="28">
        <f>IF(AH27&gt;0, (AH$30*VALORI!$B$4)+(AH$31*VALORI!$B$4)+(AH$32*VALORI!$B$3)+(AH$33*VALORI!$B$5),0)</f>
        <v>0</v>
      </c>
      <c r="AI73" s="28">
        <f>IF(AI27&gt;0, (AI$30*VALORI!$B$4)+(AI$31*VALORI!$B$4)+(AI$32*VALORI!$B$3)+(AI$33*VALORI!$B$5),0)</f>
        <v>0</v>
      </c>
      <c r="AJ73" s="28">
        <f>IF(AJ27&gt;0, (AJ$30*VALORI!$B$4)+(AJ$31*VALORI!$B$4)+(AJ$32*VALORI!$B$3)+(AJ$33*VALORI!$B$5),0)</f>
        <v>0</v>
      </c>
      <c r="AK73" s="28">
        <f>IF(AK27&gt;0, (AK$30*VALORI!$B$4)+(AK$31*VALORI!$B$4)+(AK$32*VALORI!$B$3)+(AK$33*VALORI!$B$5),0)</f>
        <v>0</v>
      </c>
      <c r="AL73" s="28">
        <f>IF(AL27&gt;0, (AL$30*VALORI!$B$4)+(AL$31*VALORI!$B$4)+(AL$32*VALORI!$B$3)+(AL$33*VALORI!$B$5),0)</f>
        <v>0</v>
      </c>
      <c r="AM73" s="28">
        <f>IF(AM27&gt;0, (AM$30*VALORI!$B$4)+(AM$31*VALORI!$B$4)+(AM$32*VALORI!$B$3)+(AM$33*VALORI!$B$5),0)</f>
        <v>0</v>
      </c>
      <c r="AN73" s="28">
        <f>IF(AN27&gt;0, (AN$30*VALORI!$B$4)+(AN$31*VALORI!$B$4)+(AN$32*VALORI!$B$3)+(AN$33*VALORI!$B$5),0)</f>
        <v>0</v>
      </c>
      <c r="AO73" s="28">
        <f>IF(AO27&gt;0, (AO$30*VALORI!$B$4)+(AO$31*VALORI!$B$4)+(AO$32*VALORI!$B$3)+(AO$33*VALORI!$B$5),0)</f>
        <v>0</v>
      </c>
      <c r="AQ73" s="28">
        <f>IF(AQ27&gt;0, (AQ$30*VALORI!$B$4)+(AQ$31*VALORI!$B$4)+(AQ$32*VALORI!$B$3)+(AQ$33*VALORI!$B$5),0)</f>
        <v>0</v>
      </c>
      <c r="AR73" s="28">
        <f>IF(AR27&gt;0, (AR$30*VALORI!$B$4)+(AR$31*VALORI!$B$4)+(AR$32*VALORI!$B$3)+(AR$33*VALORI!$B$5),0)</f>
        <v>0</v>
      </c>
      <c r="AS73" s="28">
        <f>IF(AS27&gt;0, (AS$30*VALORI!$B$4)+(AS$31*VALORI!$B$4)+(AS$32*VALORI!$B$3)+(AS$33*VALORI!$B$5),0)</f>
        <v>0</v>
      </c>
      <c r="AT73" s="28">
        <f>IF(AT27&gt;0, (AT$30*VALORI!$B$4)+(AT$31*VALORI!$B$4)+(AT$32*VALORI!$B$3)+(AT$33*VALORI!$B$5),0)</f>
        <v>0</v>
      </c>
    </row>
    <row r="74" spans="23:46" ht="15.75" x14ac:dyDescent="0.25">
      <c r="W74" s="28">
        <f>IF(W28&gt;0, (W$30*VALORI!$B$4)+(W$31*VALORI!$B$4)+(W$32*VALORI!$B$3)+(W$33*VALORI!$B$5),0)</f>
        <v>0</v>
      </c>
      <c r="X74" s="28">
        <f>IF(X28&gt;0, (X$30*VALORI!$B$4)+(X$31*VALORI!$B$4)+(X$32*VALORI!$B$3)+(X$33*VALORI!$B$5),0)</f>
        <v>0</v>
      </c>
      <c r="Y74" s="28">
        <f>IF(Y28&gt;0, (Y$30*VALORI!$B$4)+(Y$31*VALORI!$B$4)+(Y$32*VALORI!$B$3)+(Y$33*VALORI!$B$5),0)</f>
        <v>0</v>
      </c>
      <c r="Z74" s="28">
        <f>IF(Z28&gt;0, (Z$30*VALORI!$B$4)+(Z$31*VALORI!$B$4)+(Z$32*VALORI!$B$3)+(Z$33*VALORI!$B$5),0)</f>
        <v>0</v>
      </c>
      <c r="AA74" s="28">
        <f>IF(AA28&gt;0, (AA$30*VALORI!$B$4)+(AA$31*VALORI!$B$4)+(AA$32*VALORI!$B$3)+(AA$33*VALORI!$B$5),0)</f>
        <v>0</v>
      </c>
      <c r="AB74" s="28">
        <f>IF(AB28&gt;0, (AB$30*VALORI!$B$4)+(AB$31*VALORI!$B$4)+(AB$32*VALORI!$B$3)+(AB$33*VALORI!$B$5),0)</f>
        <v>0</v>
      </c>
      <c r="AC74" s="28">
        <f>IF(AC28&gt;0, (AC$30*VALORI!$B$4)+(AC$31*VALORI!$B$4)+(AC$32*VALORI!$B$3)+(AC$33*VALORI!$B$5),0)</f>
        <v>0</v>
      </c>
      <c r="AD74" s="28">
        <f>IF(AD28&gt;0, (AD$30*VALORI!$B$4)+(AD$31*VALORI!$B$4)+(AD$32*VALORI!$B$3)+(AD$33*VALORI!$B$5),0)</f>
        <v>0</v>
      </c>
      <c r="AE74" s="28">
        <f>IF(AE28&gt;0, (AE$30*VALORI!$B$4)+(AE$31*VALORI!$B$4)+(AE$32*VALORI!$B$3)+(AE$33*VALORI!$B$5),0)</f>
        <v>0</v>
      </c>
      <c r="AF74" s="28">
        <f>IF(AF28&gt;0, (AF$30*VALORI!$B$4)+(AF$31*VALORI!$B$4)+(AF$32*VALORI!$B$3)+(AF$33*VALORI!$B$5),0)</f>
        <v>0</v>
      </c>
      <c r="AG74" s="28">
        <f>IF(AG28&gt;0, (AG$30*VALORI!$B$4)+(AG$31*VALORI!$B$4)+(AG$32*VALORI!$B$3)+(AG$33*VALORI!$B$5),0)</f>
        <v>0</v>
      </c>
      <c r="AH74" s="28">
        <f>IF(AH28&gt;0, (AH$30*VALORI!$B$4)+(AH$31*VALORI!$B$4)+(AH$32*VALORI!$B$3)+(AH$33*VALORI!$B$5),0)</f>
        <v>0</v>
      </c>
      <c r="AI74" s="28">
        <f>IF(AI28&gt;0, (AI$30*VALORI!$B$4)+(AI$31*VALORI!$B$4)+(AI$32*VALORI!$B$3)+(AI$33*VALORI!$B$5),0)</f>
        <v>0</v>
      </c>
      <c r="AJ74" s="28">
        <f>IF(AJ28&gt;0, (AJ$30*VALORI!$B$4)+(AJ$31*VALORI!$B$4)+(AJ$32*VALORI!$B$3)+(AJ$33*VALORI!$B$5),0)</f>
        <v>0</v>
      </c>
      <c r="AK74" s="28">
        <f>IF(AK28&gt;0, (AK$30*VALORI!$B$4)+(AK$31*VALORI!$B$4)+(AK$32*VALORI!$B$3)+(AK$33*VALORI!$B$5),0)</f>
        <v>0</v>
      </c>
      <c r="AL74" s="28">
        <f>IF(AL28&gt;0, (AL$30*VALORI!$B$4)+(AL$31*VALORI!$B$4)+(AL$32*VALORI!$B$3)+(AL$33*VALORI!$B$5),0)</f>
        <v>0</v>
      </c>
      <c r="AM74" s="28">
        <f>IF(AM28&gt;0, (AM$30*VALORI!$B$4)+(AM$31*VALORI!$B$4)+(AM$32*VALORI!$B$3)+(AM$33*VALORI!$B$5),0)</f>
        <v>0</v>
      </c>
      <c r="AN74" s="28">
        <f>IF(AN28&gt;0, (AN$30*VALORI!$B$4)+(AN$31*VALORI!$B$4)+(AN$32*VALORI!$B$3)+(AN$33*VALORI!$B$5),0)</f>
        <v>0</v>
      </c>
      <c r="AO74" s="28">
        <f>IF(AO28&gt;0, (AO$30*VALORI!$B$4)+(AO$31*VALORI!$B$4)+(AO$32*VALORI!$B$3)+(AO$33*VALORI!$B$5),0)</f>
        <v>0</v>
      </c>
      <c r="AQ74" s="28">
        <f>IF(AQ28&gt;0, (AQ$30*VALORI!$B$4)+(AQ$31*VALORI!$B$4)+(AQ$32*VALORI!$B$3)+(AQ$33*VALORI!$B$5),0)</f>
        <v>0</v>
      </c>
      <c r="AR74" s="28">
        <f>IF(AR28&gt;0, (AR$30*VALORI!$B$4)+(AR$31*VALORI!$B$4)+(AR$32*VALORI!$B$3)+(AR$33*VALORI!$B$5),0)</f>
        <v>0</v>
      </c>
      <c r="AS74" s="28">
        <f>IF(AS28&gt;0, (AS$30*VALORI!$B$4)+(AS$31*VALORI!$B$4)+(AS$32*VALORI!$B$3)+(AS$33*VALORI!$B$5),0)</f>
        <v>0</v>
      </c>
      <c r="AT74" s="28">
        <f>IF(AT28&gt;0, (AT$30*VALORI!$B$4)+(AT$31*VALORI!$B$4)+(AT$32*VALORI!$B$3)+(AT$33*VALORI!$B$5),0)</f>
        <v>0</v>
      </c>
    </row>
  </sheetData>
  <sheetProtection algorithmName="SHA-512" hashValue="CSo8lnzL/4qf0TiQZ3r6cLJMXUVDES31Ziwael4shOWNG6qH8yW0eeg+MDFhfYMo4xrasFsE6ZALX7dBbr458Q==" saltValue="g0Igf8uF8v1rB2194AZAcw==" spinCount="100000" sheet="1" objects="1" scenarios="1"/>
  <mergeCells count="2">
    <mergeCell ref="A1:U1"/>
    <mergeCell ref="O30:P3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2</vt:i4>
      </vt:variant>
    </vt:vector>
  </HeadingPairs>
  <TitlesOfParts>
    <vt:vector size="14" baseType="lpstr">
      <vt:lpstr>VALORI</vt:lpstr>
      <vt:lpstr>REVISIONI</vt:lpstr>
      <vt:lpstr>PASTA CORTA - ECOSYSTEM</vt:lpstr>
      <vt:lpstr>PASTA CORTA - TCM100</vt:lpstr>
      <vt:lpstr>PASTA CORTA - ROMET</vt:lpstr>
      <vt:lpstr>PASTA LUNGA - GPL180</vt:lpstr>
      <vt:lpstr>SILI PASTA CORTA</vt:lpstr>
      <vt:lpstr>PASTA LUNGA - ITRG270</vt:lpstr>
      <vt:lpstr>SILI PASTA LUNGA</vt:lpstr>
      <vt:lpstr>COUSCOUS</vt:lpstr>
      <vt:lpstr>GM</vt:lpstr>
      <vt:lpstr>CTA_NIDI</vt:lpstr>
      <vt:lpstr>'PASTA CORTA - ECOSYSTEM'!Area_stampa</vt:lpstr>
      <vt:lpstr>'SILI PASTA CORTA'!Area_stampa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QE Tempi e Costi</dc:subject>
  <dc:creator>Benatti Davide</dc:creator>
  <cp:keywords/>
  <dc:description/>
  <cp:lastModifiedBy>Leonardo Benatti</cp:lastModifiedBy>
  <cp:revision/>
  <cp:lastPrinted>2024-08-14T12:40:22Z</cp:lastPrinted>
  <dcterms:created xsi:type="dcterms:W3CDTF">2015-04-28T09:44:22Z</dcterms:created>
  <dcterms:modified xsi:type="dcterms:W3CDTF">2024-09-15T23:36:16Z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1b3dd3db-e92b-49bf-8ad6-b0f13948ae68</vt:lpwstr>
  </property>
</Properties>
</file>